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rosswalk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<sst xmlns="http://schemas.openxmlformats.org/spreadsheetml/2006/main" count="160" uniqueCount="117">
  <si>
    <t xml:space="preserve">MeridianPay Financial Services — NIST CSF 2.0 ↔ ISO/IEC 27001:2022 Crosswalk</t>
  </si>
  <si>
    <t xml:space="preserve">Purpose</t>
  </si>
  <si>
    <t xml:space="preserve">Maps every NIST CSF 2.0 Category to its corresponding ISO/IEC 27001:2022 Annex A control(s) and/or core management-system clauses, so MeridianPay (fictional company) can demonstrate coverage of both frameworks without duplicating assessment work.</t>
  </si>
  <si>
    <t xml:space="preserve">Why this matters for MeridianPay</t>
  </si>
  <si>
    <t xml:space="preserve">MeridianPay has not yet pursued ISO 27001 certification, but a future certification effort is on its roadmap. This crosswalk lets the CSF 2.0 gap assessment (Project 01) double as an early input to a future ISO 27001 Statement of Applicability, avoiding duplicate control-by-control assessment work later.</t>
  </si>
  <si>
    <t xml:space="preserve">Coverage Type legend</t>
  </si>
  <si>
    <t xml:space="preserve">Direct: one or more Annex A controls address essentially the same outcome as the CSF Category.</t>
  </si>
  <si>
    <t xml:space="preserve">Partial: coverage exists, but only through ISO's core management-system clauses (Clauses 4–10) rather than Annex A, or only loosely / by inference through adjacent controls.</t>
  </si>
  <si>
    <t xml:space="preserve">No Direct Equivalent: no meaningful ISO 27001:2022 equivalent exists (none occurred in this crosswalk).</t>
  </si>
  <si>
    <t xml:space="preserve">About ISO/IEC 27001:2022 Annex A</t>
  </si>
  <si>
    <t xml:space="preserve">Annex A contains 93 controls across four themes: Organizational (37, controls 5.1–5.37), People (8, 6.1–6.8), Physical (14, 7.1–7.14), and Technological (34, 8.1–8.34). Control numbers referenced in this workbook follow that structure.</t>
  </si>
  <si>
    <t xml:space="preserve">Sources</t>
  </si>
  <si>
    <t xml:space="preserve">NIST CSF 2.0 Implementation Examples (NIST, Feb 2024) — U.S. government publication, not subject to copyright. ISO/IEC 27001:2022 Annex A control titles are referenced by number for identification purposes; the standard itself is copyrighted by ISO/IEC and is not reproduced here.</t>
  </si>
  <si>
    <t xml:space="preserve">CSF Function</t>
  </si>
  <si>
    <t xml:space="preserve">CSF Category ID</t>
  </si>
  <si>
    <t xml:space="preserve">CSF Category Name</t>
  </si>
  <si>
    <t xml:space="preserve">Mapped ISO 27001:2022 Reference(s)</t>
  </si>
  <si>
    <t xml:space="preserve">Coverage Type</t>
  </si>
  <si>
    <t xml:space="preserve">Mapping Notes</t>
  </si>
  <si>
    <t xml:space="preserve">MeridianPay Maturity (Project 01, 0-4)</t>
  </si>
  <si>
    <t xml:space="preserve">GOVERN (GV)</t>
  </si>
  <si>
    <t xml:space="preserve">GV.OC</t>
  </si>
  <si>
    <t xml:space="preserve">Organizational Context</t>
  </si>
  <si>
    <t xml:space="preserve">Clause 4.1 / 4.2 (Context of the organization); A.5.1 (Policies for information security)</t>
  </si>
  <si>
    <t xml:space="preserve">Partial (Core Clauses)</t>
  </si>
  <si>
    <t xml:space="preserve">CSF's organizational-context concept is largely covered by ISO's core management-system clauses rather than Annex A controls.</t>
  </si>
  <si>
    <t xml:space="preserve">GV.RM</t>
  </si>
  <si>
    <t xml:space="preserve">Risk Management Strategy</t>
  </si>
  <si>
    <t xml:space="preserve">Clause 6.1 (Actions to address risks and opportunities); Clause 8.2 / 8.3 (Risk assessment / treatment)</t>
  </si>
  <si>
    <t xml:space="preserve">ISO addresses risk management primarily through core clauses rather than Annex A; ISO does not explicitly require a documented risk-appetite statement the way CSF does.</t>
  </si>
  <si>
    <t xml:space="preserve">GV.SC</t>
  </si>
  <si>
    <t xml:space="preserve">Cybersecurity Supply Chain Risk Management</t>
  </si>
  <si>
    <t xml:space="preserve">A.5.19 (Supplier relationships); A.5.20 (Addressing security in supplier agreements); A.5.21 (ICT supply chain); A.5.22 (Monitoring/review of supplier services); A.5.23 (Cloud services security)</t>
  </si>
  <si>
    <t xml:space="preserve">Direct</t>
  </si>
  <si>
    <t xml:space="preserve">Strong direct overlap — ISO's supplier-relationship control set closely mirrors CSF's Supply Chain Risk Management category.</t>
  </si>
  <si>
    <t xml:space="preserve">GV.RR</t>
  </si>
  <si>
    <t xml:space="preserve">Roles, Responsibilities, and Authorities</t>
  </si>
  <si>
    <t xml:space="preserve">A.5.2 (Information security roles and responsibilities); A.5.3 (Segregation of duties)</t>
  </si>
  <si>
    <t xml:space="preserve">Direct one-to-one overlap.</t>
  </si>
  <si>
    <t xml:space="preserve">GV.PO</t>
  </si>
  <si>
    <t xml:space="preserve">Policy</t>
  </si>
  <si>
    <t xml:space="preserve">A.5.1 (Policies for information security)</t>
  </si>
  <si>
    <t xml:space="preserve">GV.OV</t>
  </si>
  <si>
    <t xml:space="preserve">Oversight</t>
  </si>
  <si>
    <t xml:space="preserve">Clause 9.3 (Management review); A.5.35 (Independent review of information security); A.5.36 (Compliance with policies, rules and standards)</t>
  </si>
  <si>
    <t xml:space="preserve">Partial (Core Clauses + Annex A)</t>
  </si>
  <si>
    <t xml:space="preserve">Oversight is split between ISO's core management-review clause and two Annex A compliance-review controls.</t>
  </si>
  <si>
    <t xml:space="preserve">IDENTIFY (ID)</t>
  </si>
  <si>
    <t xml:space="preserve">ID.AM</t>
  </si>
  <si>
    <t xml:space="preserve">Asset Management</t>
  </si>
  <si>
    <t xml:space="preserve">A.5.9 (Inventory of information and assets); A.5.10 (Acceptable use); A.5.12 (Classification); A.5.13 (Labelling); A.5.14 (Information transfer); A.7.9 (Security of assets off-premises); A.8.1 (User endpoint devices)</t>
  </si>
  <si>
    <t xml:space="preserve">Broad direct overlap across several Annex A controls.</t>
  </si>
  <si>
    <t xml:space="preserve">ID.RA</t>
  </si>
  <si>
    <t xml:space="preserve">Risk Assessment</t>
  </si>
  <si>
    <t xml:space="preserve">Clause 6.1.2 / 8.2 (Risk assessment); A.5.7 (Threat intelligence); A.8.8 (Management of technical vulnerabilities)</t>
  </si>
  <si>
    <t xml:space="preserve">Core risk-assessment process is a management-system clause; vulnerability and threat-intel handling map to specific Annex A controls.</t>
  </si>
  <si>
    <t xml:space="preserve">ID.IM</t>
  </si>
  <si>
    <t xml:space="preserve">Improvement</t>
  </si>
  <si>
    <t xml:space="preserve">Clause 10.1 (Continual improvement); Clause 10.2 (Nonconformity and corrective action); A.5.35 (Independent review of information security)</t>
  </si>
  <si>
    <t xml:space="preserve">ISO's improvement mechanism sits in the core clauses rather than Annex A.</t>
  </si>
  <si>
    <t xml:space="preserve">PROTECT (PR)</t>
  </si>
  <si>
    <t xml:space="preserve">PR.AA</t>
  </si>
  <si>
    <t xml:space="preserve">Identity Management, Authentication, and Access Control</t>
  </si>
  <si>
    <t xml:space="preserve">A.5.15 (Access control); A.5.16 (Identity management); A.5.17 (Authentication information); A.5.18 (Access rights); A.8.2 (Privileged access rights); A.8.3 (Information access restriction); A.8.5 (Secure authentication)</t>
  </si>
  <si>
    <t xml:space="preserve">Broad direct overlap — one of the strongest-mapped categories in the crosswalk.</t>
  </si>
  <si>
    <t xml:space="preserve">PR.AT</t>
  </si>
  <si>
    <t xml:space="preserve">Awareness and Training</t>
  </si>
  <si>
    <t xml:space="preserve">A.6.3 (Information security awareness, education and training)</t>
  </si>
  <si>
    <t xml:space="preserve">PR.DS</t>
  </si>
  <si>
    <t xml:space="preserve">Data Security</t>
  </si>
  <si>
    <t xml:space="preserve">A.8.10 (Information deletion); A.8.11 (Data masking); A.8.12 (Data leakage prevention); A.8.13 (Backup); A.8.24 (Use of cryptography)</t>
  </si>
  <si>
    <t xml:space="preserve">Broad direct overlap across data-protection controls.</t>
  </si>
  <si>
    <t xml:space="preserve">PR.PS</t>
  </si>
  <si>
    <t xml:space="preserve">Platform Security</t>
  </si>
  <si>
    <t xml:space="preserve">A.8.8 (Technical vulnerabilities); A.8.9 (Configuration management); A.8.16 (Monitoring activities); A.8.19 (Installation of software on operational systems); A.8.25–A.8.34 (Secure development lifecycle)</t>
  </si>
  <si>
    <t xml:space="preserve">Broad overlap with ISO's technological controls, especially the secure-development-lifecycle cluster.</t>
  </si>
  <si>
    <t xml:space="preserve">PR.IR</t>
  </si>
  <si>
    <t xml:space="preserve">Technology Infrastructure Resilience</t>
  </si>
  <si>
    <t xml:space="preserve">A.8.20 (Networks security); A.8.21 (Security of network services); A.8.22 (Segregation of networks); A.8.14 (Redundancy of information processing facilities); A.7.5 / A.7.11 (Physical / environmental protection)</t>
  </si>
  <si>
    <t xml:space="preserve">Direct overlap spanning both technological and physical control themes.</t>
  </si>
  <si>
    <t xml:space="preserve">DETECT (DE)</t>
  </si>
  <si>
    <t xml:space="preserve">DE.CM</t>
  </si>
  <si>
    <t xml:space="preserve">Continuous Monitoring</t>
  </si>
  <si>
    <t xml:space="preserve">A.8.15 (Logging); A.8.16 (Monitoring activities)</t>
  </si>
  <si>
    <t xml:space="preserve">DE.AE</t>
  </si>
  <si>
    <t xml:space="preserve">Adverse Event Analysis</t>
  </si>
  <si>
    <t xml:space="preserve">A.5.25 (Assessment and decision on information security events); A.8.16 (Monitoring activities)</t>
  </si>
  <si>
    <t xml:space="preserve">Direct overlap; ISO frames this as event assessment rather than a separate analysis category.</t>
  </si>
  <si>
    <t xml:space="preserve">RESPOND (RS)</t>
  </si>
  <si>
    <t xml:space="preserve">RS.MA</t>
  </si>
  <si>
    <t xml:space="preserve">Incident Management</t>
  </si>
  <si>
    <t xml:space="preserve">A.5.24 (Incident management planning and preparation); A.5.26 (Response to information security incidents)</t>
  </si>
  <si>
    <t xml:space="preserve">RS.AN</t>
  </si>
  <si>
    <t xml:space="preserve">Incident Analysis</t>
  </si>
  <si>
    <t xml:space="preserve">A.5.27 (Learning from information security incidents); A.5.28 (Collection of evidence)</t>
  </si>
  <si>
    <t xml:space="preserve">Direct overlap; ISO also emphasizes organizational learning from incidents.</t>
  </si>
  <si>
    <t xml:space="preserve">RS.CO</t>
  </si>
  <si>
    <t xml:space="preserve">Incident Response Reporting and Communication</t>
  </si>
  <si>
    <t xml:space="preserve">A.5.24 (Incident management planning and preparation); A.5.5 (Contact with authorities); A.6.8 (Information security event reporting)</t>
  </si>
  <si>
    <t xml:space="preserve">Direct overlap across three related Annex A controls.</t>
  </si>
  <si>
    <t xml:space="preserve">RS.MI</t>
  </si>
  <si>
    <t xml:space="preserve">Incident Mitigation</t>
  </si>
  <si>
    <t xml:space="preserve">A.5.26 (Response to information security incidents)</t>
  </si>
  <si>
    <t xml:space="preserve">Direct overlap; ISO does not separately distinguish containment vs. eradication as CSF does.</t>
  </si>
  <si>
    <t xml:space="preserve">RECOVER (RC)</t>
  </si>
  <si>
    <t xml:space="preserve">RC.RP</t>
  </si>
  <si>
    <t xml:space="preserve">Incident Recovery Plan Execution</t>
  </si>
  <si>
    <t xml:space="preserve">A.5.29 (Information security during disruption); A.5.30 (ICT readiness for business continuity); A.8.13 (Backup)</t>
  </si>
  <si>
    <t xml:space="preserve">Direct overlap with ISO's business-continuity and backup controls.</t>
  </si>
  <si>
    <t xml:space="preserve">RC.CO</t>
  </si>
  <si>
    <t xml:space="preserve">Incident Recovery Communication</t>
  </si>
  <si>
    <t xml:space="preserve">A.5.5 (Contact with authorities); A.5.6 (Contact with special interest groups); A.6.8 (Information security event reporting)</t>
  </si>
  <si>
    <t xml:space="preserve">Partial</t>
  </si>
  <si>
    <t xml:space="preserve">ISO does not have a control specific to recovery communications; coverage is inferred from adjacent contact/reporting controls.</t>
  </si>
  <si>
    <t xml:space="preserve">Coverage Summary</t>
  </si>
  <si>
    <t xml:space="preserve"># of CSF Categories</t>
  </si>
  <si>
    <t xml:space="preserve">Total CSF Categories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</si>
</sst>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CSF Category Coverage by ISO 27001:2022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# of CSF Categories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Direct</c:v>
                </c:pt>
                <c:pt idx="1">
                  <c:v>Partial (Core Clauses)</c:v>
                </c:pt>
                <c:pt idx="2">
                  <c:v>Partial (Core Clauses + Annex A)</c:v>
                </c:pt>
                <c:pt idx="3">
                  <c:v>Partial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66780894"/>
        <c:axId val="96676590"/>
      </c:barChart>
      <c:catAx>
        <c:axId val="66780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76590"/>
        <c:crosses val="autoZero"/>
        <c:auto val="1"/>
        <c:lblAlgn val="ctr"/>
        <c:lblOffset val="100"/>
        <c:noMultiLvlLbl val="0"/>
      </c:catAx>
      <c:valAx>
        <c:axId val="96676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of Categories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80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255960</xdr:colOff>
      <xdr:row>18</xdr:row>
      <xdr:rowOff>75960</xdr:rowOff>
    </xdr:to>
    <xdr:graphicFrame>
      <xdr:nvGraphicFramePr>
        <xdr:cNvPr id="0" name="Chart 1"/>
        <xdr:cNvGraphicFramePr/>
      </xdr:nvGraphicFramePr>
      <xdr:xfrm>
        <a:off x="385380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8" hidden="false" customHeight="true" outlineLevel="0" collapsed="false">
      <c r="A4" s="2" t="s">
        <v>2</v>
      </c>
    </row>
    <row r="5" customFormat="false" ht="18" hidden="false" customHeight="true" outlineLevel="0" collapsed="false">
      <c r="A5" s="2"/>
    </row>
    <row r="6" customFormat="false" ht="18" hidden="false" customHeight="true" outlineLevel="0" collapsed="false">
      <c r="A6" s="3" t="s">
        <v>3</v>
      </c>
    </row>
    <row r="7" customFormat="false" ht="18" hidden="false" customHeight="true" outlineLevel="0" collapsed="false">
      <c r="A7" s="2" t="s">
        <v>4</v>
      </c>
    </row>
    <row r="8" customFormat="false" ht="18" hidden="false" customHeight="true" outlineLevel="0" collapsed="false">
      <c r="A8" s="2"/>
    </row>
    <row r="9" customFormat="false" ht="18" hidden="false" customHeight="true" outlineLevel="0" collapsed="false">
      <c r="A9" s="3" t="s">
        <v>5</v>
      </c>
    </row>
    <row r="10" customFormat="false" ht="18" hidden="false" customHeight="true" outlineLevel="0" collapsed="false">
      <c r="A10" s="2" t="s">
        <v>6</v>
      </c>
    </row>
    <row r="11" customFormat="false" ht="18" hidden="false" customHeight="true" outlineLevel="0" collapsed="false">
      <c r="A11" s="2" t="s">
        <v>7</v>
      </c>
    </row>
    <row r="12" customFormat="false" ht="18" hidden="false" customHeight="true" outlineLevel="0" collapsed="false">
      <c r="A12" s="2" t="s">
        <v>8</v>
      </c>
    </row>
    <row r="13" customFormat="false" ht="18" hidden="false" customHeight="true" outlineLevel="0" collapsed="false">
      <c r="A13" s="2"/>
    </row>
    <row r="14" customFormat="false" ht="18" hidden="false" customHeight="true" outlineLevel="0" collapsed="false">
      <c r="A14" s="3" t="s">
        <v>9</v>
      </c>
    </row>
    <row r="15" customFormat="false" ht="18" hidden="false" customHeight="true" outlineLevel="0" collapsed="false">
      <c r="A15" s="2" t="s">
        <v>10</v>
      </c>
    </row>
    <row r="16" customFormat="false" ht="18" hidden="false" customHeight="true" outlineLevel="0" collapsed="false">
      <c r="A16" s="2"/>
    </row>
    <row r="17" customFormat="false" ht="18" hidden="false" customHeight="true" outlineLevel="0" collapsed="false">
      <c r="A17" s="3" t="s">
        <v>11</v>
      </c>
    </row>
    <row r="18" customFormat="false" ht="18" hidden="false" customHeight="tru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customFormat="false" ht="54.75" hidden="false" customHeight="tru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6" t="s">
        <v>24</v>
      </c>
      <c r="F2" s="5" t="s">
        <v>25</v>
      </c>
      <c r="G2" s="7" t="n">
        <v>1</v>
      </c>
    </row>
    <row r="3" customFormat="false" ht="54.75" hidden="false" customHeight="true" outlineLevel="0" collapsed="false">
      <c r="A3" s="5" t="s">
        <v>20</v>
      </c>
      <c r="B3" s="5" t="s">
        <v>26</v>
      </c>
      <c r="C3" s="5" t="s">
        <v>27</v>
      </c>
      <c r="D3" s="5" t="s">
        <v>28</v>
      </c>
      <c r="E3" s="6" t="s">
        <v>24</v>
      </c>
      <c r="F3" s="5" t="s">
        <v>29</v>
      </c>
      <c r="G3" s="7" t="n">
        <v>1</v>
      </c>
    </row>
    <row r="4" customFormat="false" ht="54.75" hidden="false" customHeight="true" outlineLevel="0" collapsed="false">
      <c r="A4" s="5" t="s">
        <v>20</v>
      </c>
      <c r="B4" s="5" t="s">
        <v>30</v>
      </c>
      <c r="C4" s="5" t="s">
        <v>31</v>
      </c>
      <c r="D4" s="5" t="s">
        <v>32</v>
      </c>
      <c r="E4" s="8" t="s">
        <v>33</v>
      </c>
      <c r="F4" s="5" t="s">
        <v>34</v>
      </c>
      <c r="G4" s="7" t="n">
        <v>1</v>
      </c>
    </row>
    <row r="5" customFormat="false" ht="54.75" hidden="false" customHeight="true" outlineLevel="0" collapsed="false">
      <c r="A5" s="5" t="s">
        <v>20</v>
      </c>
      <c r="B5" s="5" t="s">
        <v>35</v>
      </c>
      <c r="C5" s="5" t="s">
        <v>36</v>
      </c>
      <c r="D5" s="5" t="s">
        <v>37</v>
      </c>
      <c r="E5" s="8" t="s">
        <v>33</v>
      </c>
      <c r="F5" s="5" t="s">
        <v>38</v>
      </c>
      <c r="G5" s="7" t="n">
        <v>1</v>
      </c>
    </row>
    <row r="6" customFormat="false" ht="54.75" hidden="false" customHeight="true" outlineLevel="0" collapsed="false">
      <c r="A6" s="5" t="s">
        <v>20</v>
      </c>
      <c r="B6" s="5" t="s">
        <v>39</v>
      </c>
      <c r="C6" s="5" t="s">
        <v>40</v>
      </c>
      <c r="D6" s="5" t="s">
        <v>41</v>
      </c>
      <c r="E6" s="8" t="s">
        <v>33</v>
      </c>
      <c r="F6" s="5" t="s">
        <v>38</v>
      </c>
      <c r="G6" s="7" t="n">
        <v>1</v>
      </c>
    </row>
    <row r="7" customFormat="false" ht="54.75" hidden="false" customHeight="true" outlineLevel="0" collapsed="false">
      <c r="A7" s="5" t="s">
        <v>20</v>
      </c>
      <c r="B7" s="5" t="s">
        <v>42</v>
      </c>
      <c r="C7" s="5" t="s">
        <v>43</v>
      </c>
      <c r="D7" s="5" t="s">
        <v>44</v>
      </c>
      <c r="E7" s="6" t="s">
        <v>45</v>
      </c>
      <c r="F7" s="5" t="s">
        <v>46</v>
      </c>
      <c r="G7" s="9" t="n">
        <v>0</v>
      </c>
    </row>
    <row r="8" customFormat="false" ht="54.75" hidden="false" customHeight="true" outlineLevel="0" collapsed="false">
      <c r="A8" s="5" t="s">
        <v>47</v>
      </c>
      <c r="B8" s="5" t="s">
        <v>48</v>
      </c>
      <c r="C8" s="5" t="s">
        <v>49</v>
      </c>
      <c r="D8" s="5" t="s">
        <v>50</v>
      </c>
      <c r="E8" s="8" t="s">
        <v>33</v>
      </c>
      <c r="F8" s="5" t="s">
        <v>51</v>
      </c>
      <c r="G8" s="10" t="n">
        <v>2</v>
      </c>
    </row>
    <row r="9" customFormat="false" ht="54.75" hidden="false" customHeight="true" outlineLevel="0" collapsed="false">
      <c r="A9" s="5" t="s">
        <v>47</v>
      </c>
      <c r="B9" s="5" t="s">
        <v>52</v>
      </c>
      <c r="C9" s="5" t="s">
        <v>53</v>
      </c>
      <c r="D9" s="5" t="s">
        <v>54</v>
      </c>
      <c r="E9" s="6" t="s">
        <v>45</v>
      </c>
      <c r="F9" s="5" t="s">
        <v>55</v>
      </c>
      <c r="G9" s="7" t="n">
        <v>1</v>
      </c>
    </row>
    <row r="10" customFormat="false" ht="54.75" hidden="false" customHeight="true" outlineLevel="0" collapsed="false">
      <c r="A10" s="5" t="s">
        <v>47</v>
      </c>
      <c r="B10" s="5" t="s">
        <v>56</v>
      </c>
      <c r="C10" s="5" t="s">
        <v>57</v>
      </c>
      <c r="D10" s="5" t="s">
        <v>58</v>
      </c>
      <c r="E10" s="6" t="s">
        <v>24</v>
      </c>
      <c r="F10" s="5" t="s">
        <v>59</v>
      </c>
      <c r="G10" s="9" t="n">
        <v>0</v>
      </c>
    </row>
    <row r="11" customFormat="false" ht="54.75" hidden="false" customHeight="true" outlineLevel="0" collapsed="false">
      <c r="A11" s="5" t="s">
        <v>60</v>
      </c>
      <c r="B11" s="5" t="s">
        <v>61</v>
      </c>
      <c r="C11" s="5" t="s">
        <v>62</v>
      </c>
      <c r="D11" s="5" t="s">
        <v>63</v>
      </c>
      <c r="E11" s="8" t="s">
        <v>33</v>
      </c>
      <c r="F11" s="5" t="s">
        <v>64</v>
      </c>
      <c r="G11" s="10" t="n">
        <v>2</v>
      </c>
    </row>
    <row r="12" customFormat="false" ht="54.75" hidden="false" customHeight="true" outlineLevel="0" collapsed="false">
      <c r="A12" s="5" t="s">
        <v>60</v>
      </c>
      <c r="B12" s="5" t="s">
        <v>65</v>
      </c>
      <c r="C12" s="5" t="s">
        <v>66</v>
      </c>
      <c r="D12" s="5" t="s">
        <v>67</v>
      </c>
      <c r="E12" s="8" t="s">
        <v>33</v>
      </c>
      <c r="F12" s="5" t="s">
        <v>38</v>
      </c>
      <c r="G12" s="9" t="n">
        <v>0</v>
      </c>
    </row>
    <row r="13" customFormat="false" ht="54.75" hidden="false" customHeight="true" outlineLevel="0" collapsed="false">
      <c r="A13" s="5" t="s">
        <v>60</v>
      </c>
      <c r="B13" s="5" t="s">
        <v>68</v>
      </c>
      <c r="C13" s="5" t="s">
        <v>69</v>
      </c>
      <c r="D13" s="5" t="s">
        <v>70</v>
      </c>
      <c r="E13" s="8" t="s">
        <v>33</v>
      </c>
      <c r="F13" s="5" t="s">
        <v>71</v>
      </c>
      <c r="G13" s="10" t="n">
        <v>2</v>
      </c>
    </row>
    <row r="14" customFormat="false" ht="54.75" hidden="false" customHeight="true" outlineLevel="0" collapsed="false">
      <c r="A14" s="5" t="s">
        <v>60</v>
      </c>
      <c r="B14" s="5" t="s">
        <v>72</v>
      </c>
      <c r="C14" s="5" t="s">
        <v>73</v>
      </c>
      <c r="D14" s="5" t="s">
        <v>74</v>
      </c>
      <c r="E14" s="8" t="s">
        <v>33</v>
      </c>
      <c r="F14" s="5" t="s">
        <v>75</v>
      </c>
      <c r="G14" s="10" t="n">
        <v>2</v>
      </c>
    </row>
    <row r="15" customFormat="false" ht="54.75" hidden="false" customHeight="true" outlineLevel="0" collapsed="false">
      <c r="A15" s="5" t="s">
        <v>60</v>
      </c>
      <c r="B15" s="5" t="s">
        <v>76</v>
      </c>
      <c r="C15" s="5" t="s">
        <v>77</v>
      </c>
      <c r="D15" s="5" t="s">
        <v>78</v>
      </c>
      <c r="E15" s="8" t="s">
        <v>33</v>
      </c>
      <c r="F15" s="5" t="s">
        <v>79</v>
      </c>
      <c r="G15" s="10" t="n">
        <v>2</v>
      </c>
    </row>
    <row r="16" customFormat="false" ht="54.75" hidden="false" customHeight="true" outlineLevel="0" collapsed="false">
      <c r="A16" s="5" t="s">
        <v>80</v>
      </c>
      <c r="B16" s="5" t="s">
        <v>81</v>
      </c>
      <c r="C16" s="5" t="s">
        <v>82</v>
      </c>
      <c r="D16" s="5" t="s">
        <v>83</v>
      </c>
      <c r="E16" s="8" t="s">
        <v>33</v>
      </c>
      <c r="F16" s="5" t="s">
        <v>38</v>
      </c>
      <c r="G16" s="7" t="n">
        <v>1</v>
      </c>
    </row>
    <row r="17" customFormat="false" ht="54.75" hidden="false" customHeight="true" outlineLevel="0" collapsed="false">
      <c r="A17" s="5" t="s">
        <v>80</v>
      </c>
      <c r="B17" s="5" t="s">
        <v>84</v>
      </c>
      <c r="C17" s="5" t="s">
        <v>85</v>
      </c>
      <c r="D17" s="5" t="s">
        <v>86</v>
      </c>
      <c r="E17" s="8" t="s">
        <v>33</v>
      </c>
      <c r="F17" s="5" t="s">
        <v>87</v>
      </c>
      <c r="G17" s="9" t="n">
        <v>0</v>
      </c>
    </row>
    <row r="18" customFormat="false" ht="54.75" hidden="false" customHeight="true" outlineLevel="0" collapsed="false">
      <c r="A18" s="5" t="s">
        <v>88</v>
      </c>
      <c r="B18" s="5" t="s">
        <v>89</v>
      </c>
      <c r="C18" s="5" t="s">
        <v>90</v>
      </c>
      <c r="D18" s="5" t="s">
        <v>91</v>
      </c>
      <c r="E18" s="8" t="s">
        <v>33</v>
      </c>
      <c r="F18" s="5" t="s">
        <v>38</v>
      </c>
      <c r="G18" s="7" t="n">
        <v>1</v>
      </c>
    </row>
    <row r="19" customFormat="false" ht="54.75" hidden="false" customHeight="true" outlineLevel="0" collapsed="false">
      <c r="A19" s="5" t="s">
        <v>88</v>
      </c>
      <c r="B19" s="5" t="s">
        <v>92</v>
      </c>
      <c r="C19" s="5" t="s">
        <v>93</v>
      </c>
      <c r="D19" s="5" t="s">
        <v>94</v>
      </c>
      <c r="E19" s="8" t="s">
        <v>33</v>
      </c>
      <c r="F19" s="5" t="s">
        <v>95</v>
      </c>
      <c r="G19" s="9" t="n">
        <v>0</v>
      </c>
    </row>
    <row r="20" customFormat="false" ht="54.75" hidden="false" customHeight="true" outlineLevel="0" collapsed="false">
      <c r="A20" s="5" t="s">
        <v>88</v>
      </c>
      <c r="B20" s="5" t="s">
        <v>96</v>
      </c>
      <c r="C20" s="5" t="s">
        <v>97</v>
      </c>
      <c r="D20" s="5" t="s">
        <v>98</v>
      </c>
      <c r="E20" s="8" t="s">
        <v>33</v>
      </c>
      <c r="F20" s="5" t="s">
        <v>99</v>
      </c>
      <c r="G20" s="7" t="n">
        <v>1</v>
      </c>
    </row>
    <row r="21" customFormat="false" ht="54.75" hidden="false" customHeight="true" outlineLevel="0" collapsed="false">
      <c r="A21" s="5" t="s">
        <v>88</v>
      </c>
      <c r="B21" s="5" t="s">
        <v>100</v>
      </c>
      <c r="C21" s="5" t="s">
        <v>101</v>
      </c>
      <c r="D21" s="5" t="s">
        <v>102</v>
      </c>
      <c r="E21" s="8" t="s">
        <v>33</v>
      </c>
      <c r="F21" s="5" t="s">
        <v>103</v>
      </c>
      <c r="G21" s="7" t="n">
        <v>1</v>
      </c>
    </row>
    <row r="22" customFormat="false" ht="54.75" hidden="false" customHeight="true" outlineLevel="0" collapsed="false">
      <c r="A22" s="5" t="s">
        <v>104</v>
      </c>
      <c r="B22" s="5" t="s">
        <v>105</v>
      </c>
      <c r="C22" s="5" t="s">
        <v>106</v>
      </c>
      <c r="D22" s="5" t="s">
        <v>107</v>
      </c>
      <c r="E22" s="8" t="s">
        <v>33</v>
      </c>
      <c r="F22" s="5" t="s">
        <v>108</v>
      </c>
      <c r="G22" s="7" t="n">
        <v>1</v>
      </c>
    </row>
    <row r="23" customFormat="false" ht="54.75" hidden="false" customHeight="true" outlineLevel="0" collapsed="false">
      <c r="A23" s="5" t="s">
        <v>104</v>
      </c>
      <c r="B23" s="5" t="s">
        <v>109</v>
      </c>
      <c r="C23" s="5" t="s">
        <v>110</v>
      </c>
      <c r="D23" s="5" t="s">
        <v>111</v>
      </c>
      <c r="E23" s="6" t="s">
        <v>112</v>
      </c>
      <c r="F23" s="5" t="s">
        <v>113</v>
      </c>
      <c r="G23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1" t="s">
        <v>114</v>
      </c>
      <c r="B1" s="11"/>
    </row>
    <row r="3" customFormat="false" ht="21.75" hidden="false" customHeight="true" outlineLevel="0" collapsed="false">
      <c r="A3" s="12" t="s">
        <v>17</v>
      </c>
      <c r="B3" s="12" t="s">
        <v>115</v>
      </c>
    </row>
    <row r="4" customFormat="false" ht="15" hidden="false" customHeight="false" outlineLevel="0" collapsed="false">
      <c r="A4" s="13" t="s">
        <v>33</v>
      </c>
      <c r="B4" s="14" t="n">
        <f aca="false">COUNTIF(Crosswalk!$E$2:$E$23,A4)</f>
        <v>16</v>
      </c>
    </row>
    <row r="5" customFormat="false" ht="15" hidden="false" customHeight="false" outlineLevel="0" collapsed="false">
      <c r="A5" s="13" t="s">
        <v>24</v>
      </c>
      <c r="B5" s="14" t="n">
        <f aca="false">COUNTIF(Crosswalk!$E$2:$E$23,A5)</f>
        <v>3</v>
      </c>
    </row>
    <row r="6" customFormat="false" ht="15" hidden="false" customHeight="false" outlineLevel="0" collapsed="false">
      <c r="A6" s="13" t="s">
        <v>45</v>
      </c>
      <c r="B6" s="14" t="n">
        <f aca="false">COUNTIF(Crosswalk!$E$2:$E$23,A6)</f>
        <v>2</v>
      </c>
    </row>
    <row r="7" customFormat="false" ht="15" hidden="false" customHeight="false" outlineLevel="0" collapsed="false">
      <c r="A7" s="13" t="s">
        <v>112</v>
      </c>
      <c r="B7" s="14" t="n">
        <f aca="false">COUNTIF(Crosswalk!$E$2:$E$23,A7)</f>
        <v>1</v>
      </c>
    </row>
    <row r="8" customFormat="false" ht="15" hidden="false" customHeight="false" outlineLevel="0" collapsed="false">
      <c r="A8" s="15" t="s">
        <v>116</v>
      </c>
      <c r="B8" s="16" t="n">
        <f aca="false">SUM(B4:B7)</f>
        <v>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2026-09-27T18:53:50Z</dcterms:created>
  <dc:creator>openpyxl</dc:creator>
  <dc:description/>
  <dc:language>en-US</dc:language>
  <cp:lastModifiedBy/>
  <dcterms:modified xsi:type="dcterms:W3CDTF">2026-09-27T18:53:52Z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