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Vendor Tiering" sheetId="2" state="visible" r:id="rId4"/>
    <sheet name="Questionnaire" sheetId="3" state="visible" r:id="rId5"/>
    <sheet name="Vendor Assessment" sheetId="4" state="visible" r:id="rId6"/>
    <sheet name="Risk Register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<sst xmlns="http://schemas.openxmlformats.org/spreadsheetml/2006/main" count="264" uniqueCount="219">
  <si>
    <t xml:space="preserve">MeridianPay Financial Services — Vendor / Third-Party Risk Assessment (NIST CSF 2.0: GV.SC)</t>
  </si>
  <si>
    <t xml:space="preserve">Purpose</t>
  </si>
  <si>
    <t xml:space="preserve">Applies the NIST CSF 2.0 Cybersecurity Supply Chain Risk Management category (GV.SC) to MeridianPay's seven key vendors: tier each vendor by criticality, assess its security controls with a 12-question questionnaire, and record the resulting risks with treatment plans. MeridianPay is a fictional company; all vendor names and assessment answers are invented for this portfolio.</t>
  </si>
  <si>
    <t xml:space="preserve">How the workbook flows</t>
  </si>
  <si>
    <t xml:space="preserve">1. Vendor Tiering — score each vendor 1-3 on data sensitivity, system access and business impact. The sum sets the tier (GV.SC-04).</t>
  </si>
  <si>
    <t xml:space="preserve">2. Questionnaire — 12 questions, each mapped to a CSF 2.0 subcategory.</t>
  </si>
  <si>
    <t xml:space="preserve">3. Vendor Assessment — answers per vendor (0 = No/unknown, 1 = Partial, 2 = Yes). Control score = points earned / 24.</t>
  </si>
  <si>
    <t xml:space="preserve">4. Risk Index = Criticality Score x (1 - Control Score). A critical vendor with weak controls scores highest.</t>
  </si>
  <si>
    <t xml:space="preserve">5. Risk Register — vendor-level and program-level risks scored Likelihood x Impact (1-5 each), with treatment, owner and timeline.</t>
  </si>
  <si>
    <t xml:space="preserve">6. Summary — roll-ups and a chart.</t>
  </si>
  <si>
    <t xml:space="preserve">Rating thresholds</t>
  </si>
  <si>
    <t xml:space="preserve">Tier: Criticality &gt;= 8 = Tier 1 (Critical); 6-7 = Tier 2 (Important); 5 or below = Tier 3 (Standard).</t>
  </si>
  <si>
    <t xml:space="preserve">Control rating: &gt;= 75% Strong; 50-74% Moderate; below 50% Weak.</t>
  </si>
  <si>
    <t xml:space="preserve">Residual vendor risk (Risk Index): &gt;= 5 High; 3-4.9 Medium; below 3 Low.</t>
  </si>
  <si>
    <t xml:space="preserve">Register score (Likelihood x Impact): &gt;= 15 High; 8-14 Medium; below 8 Low.</t>
  </si>
  <si>
    <t xml:space="preserve">Colour code</t>
  </si>
  <si>
    <t xml:space="preserve">Blue text = an input you can change (scores, answers). Black text = formulas and fixed content. Change an input and every score updates.</t>
  </si>
  <si>
    <t xml:space="preserve">Source</t>
  </si>
  <si>
    <t xml:space="preserve">Control mappings reference NIST CSF 2.0 and its Implementation Examples (NIST, Feb 2024), a U.S. government publication.</t>
  </si>
  <si>
    <t xml:space="preserve">Vendor Criticality Tiering (CSF GV.SC-04)</t>
  </si>
  <si>
    <t xml:space="preserve">Score each factor 1-3 (blue = input). Criticality Score and Tier calculate automatically.</t>
  </si>
  <si>
    <t xml:space="preserve">Vendor</t>
  </si>
  <si>
    <t xml:space="preserve">Service</t>
  </si>
  <si>
    <t xml:space="preserve">Data Sensitivity (1-3)</t>
  </si>
  <si>
    <t xml:space="preserve">System Access (1-3)</t>
  </si>
  <si>
    <t xml:space="preserve">Business Impact (1-3)</t>
  </si>
  <si>
    <t xml:space="preserve">Criticality Score</t>
  </si>
  <si>
    <t xml:space="preserve">Tier</t>
  </si>
  <si>
    <t xml:space="preserve">Rationale</t>
  </si>
  <si>
    <t xml:space="preserve">CloudCore (AWS environment)</t>
  </si>
  <si>
    <t xml:space="preserve">Infrastructure hosting</t>
  </si>
  <si>
    <t xml:space="preserve">Hosts the production payments platform, including PII and transaction data.</t>
  </si>
  <si>
    <t xml:space="preserve">ScreenSafe KYC/AML</t>
  </si>
  <si>
    <t xml:space="preserve">Identity &amp; sanctions screening</t>
  </si>
  <si>
    <t xml:space="preserve">Processes customer government ID data; regulatory-critical for onboarding.</t>
  </si>
  <si>
    <t xml:space="preserve">PaySettle Gateway</t>
  </si>
  <si>
    <t xml:space="preserve">Payment processing / settlement</t>
  </si>
  <si>
    <t xml:space="preserve">Settles customer transactions; an outage stops core revenue.</t>
  </si>
  <si>
    <t xml:space="preserve">HelpDesk Solutions (MSP)</t>
  </si>
  <si>
    <t xml:space="preserve">IT support, endpoint management</t>
  </si>
  <si>
    <t xml:space="preserve">Holds administrative access to corporate endpoints.</t>
  </si>
  <si>
    <t xml:space="preserve">CloudHR Payroll</t>
  </si>
  <si>
    <t xml:space="preserve">HR / payroll SaaS</t>
  </si>
  <si>
    <t xml:space="preserve">Holds employee PII and payroll data; no access to customer systems.</t>
  </si>
  <si>
    <t xml:space="preserve">BrightWave Support Outsourcing</t>
  </si>
  <si>
    <t xml:space="preserve">Outsourced customer support</t>
  </si>
  <si>
    <t xml:space="preserve">Overseas team handles customer PII, partly on BYOD devices.</t>
  </si>
  <si>
    <t xml:space="preserve">AdReach Marketing Agency</t>
  </si>
  <si>
    <t xml:space="preserve">Marketing / campaigns</t>
  </si>
  <si>
    <t xml:space="preserve">Limited customer contact data; no system access.</t>
  </si>
  <si>
    <t xml:space="preserve">Scoring criteria</t>
  </si>
  <si>
    <t xml:space="preserve">Factor</t>
  </si>
  <si>
    <t xml:space="preserve">1 = Low</t>
  </si>
  <si>
    <t xml:space="preserve">2 = Medium</t>
  </si>
  <si>
    <t xml:space="preserve">3 = High</t>
  </si>
  <si>
    <t xml:space="preserve">Data Sensitivity</t>
  </si>
  <si>
    <t xml:space="preserve">Limited contact data</t>
  </si>
  <si>
    <t xml:space="preserve">PII or internal business data</t>
  </si>
  <si>
    <t xml:space="preserve">High-sensitivity PII, financial or government ID data</t>
  </si>
  <si>
    <t xml:space="preserve">System Access</t>
  </si>
  <si>
    <t xml:space="preserve">No access to MeridianPay systems</t>
  </si>
  <si>
    <t xml:space="preserve">Limited or role-based access</t>
  </si>
  <si>
    <t xml:space="preserve">Privileged / administrative access</t>
  </si>
  <si>
    <t xml:space="preserve">Business Impact</t>
  </si>
  <si>
    <t xml:space="preserve">Minor inconvenience if unavailable</t>
  </si>
  <si>
    <t xml:space="preserve">Disrupts a business function</t>
  </si>
  <si>
    <t xml:space="preserve">Stops core business operations</t>
  </si>
  <si>
    <t xml:space="preserve">Vendor Security Questionnaire (12 questions)</t>
  </si>
  <si>
    <t xml:space="preserve">Answer scale: 0 = No / unknown, 1 = Partial, 2 = Yes.</t>
  </si>
  <si>
    <t xml:space="preserve">ID</t>
  </si>
  <si>
    <t xml:space="preserve">Domain</t>
  </si>
  <si>
    <t xml:space="preserve">Question</t>
  </si>
  <si>
    <t xml:space="preserve">CSF 2.0 Mapping</t>
  </si>
  <si>
    <t xml:space="preserve">Q1</t>
  </si>
  <si>
    <t xml:space="preserve">Contract Clauses</t>
  </si>
  <si>
    <t xml:space="preserve">Does the contract include security requirements proportionate to the vendor's criticality?</t>
  </si>
  <si>
    <t xml:space="preserve">GV.SC-05</t>
  </si>
  <si>
    <t xml:space="preserve">Q2</t>
  </si>
  <si>
    <t xml:space="preserve">Certification</t>
  </si>
  <si>
    <t xml:space="preserve">Can the vendor provide current evidence of security practices (e.g., ISO 27001, SOC 2, PCI DSS)?</t>
  </si>
  <si>
    <t xml:space="preserve">GV.SC-05 / ID.RA-10</t>
  </si>
  <si>
    <t xml:space="preserve">Q3</t>
  </si>
  <si>
    <t xml:space="preserve">Due Diligence</t>
  </si>
  <si>
    <t xml:space="preserve">Was security due diligence performed before onboarding the vendor?</t>
  </si>
  <si>
    <t xml:space="preserve">GV.SC-06</t>
  </si>
  <si>
    <t xml:space="preserve">Q4</t>
  </si>
  <si>
    <t xml:space="preserve">MFA</t>
  </si>
  <si>
    <t xml:space="preserve">Is multifactor authentication enforced for vendor access to MeridianPay data and systems?</t>
  </si>
  <si>
    <t xml:space="preserve">PR.AA-03</t>
  </si>
  <si>
    <t xml:space="preserve">Q5</t>
  </si>
  <si>
    <t xml:space="preserve">Encryption</t>
  </si>
  <si>
    <t xml:space="preserve">Is MeridianPay data encrypted in transit and at rest by the vendor?</t>
  </si>
  <si>
    <t xml:space="preserve">PR.DS-01 / PR.DS-02</t>
  </si>
  <si>
    <t xml:space="preserve">Q6</t>
  </si>
  <si>
    <t xml:space="preserve">Incident SLA</t>
  </si>
  <si>
    <t xml:space="preserve">Is there a contractual deadline for the vendor to notify MeridianPay of a security incident?</t>
  </si>
  <si>
    <t xml:space="preserve">GV.SC-08 / RS.CO-02</t>
  </si>
  <si>
    <t xml:space="preserve">Q7</t>
  </si>
  <si>
    <t xml:space="preserve">IR Exercises</t>
  </si>
  <si>
    <t xml:space="preserve">Is the vendor included in MeridianPay's incident response planning and exercises?</t>
  </si>
  <si>
    <t xml:space="preserve">GV.SC-08</t>
  </si>
  <si>
    <t xml:space="preserve">Q8</t>
  </si>
  <si>
    <t xml:space="preserve">Ongoing Monitoring</t>
  </si>
  <si>
    <t xml:space="preserve">Is the vendor's security posture reassessed periodically throughout the relationship?</t>
  </si>
  <si>
    <t xml:space="preserve">GV.SC-07</t>
  </si>
  <si>
    <t xml:space="preserve">Q9</t>
  </si>
  <si>
    <t xml:space="preserve">Sub-processors</t>
  </si>
  <si>
    <t xml:space="preserve">Does the vendor disclose its own subcontractors that touch MeridianPay data?</t>
  </si>
  <si>
    <t xml:space="preserve">Q10</t>
  </si>
  <si>
    <t xml:space="preserve">Offboarding</t>
  </si>
  <si>
    <t xml:space="preserve">Are there defined steps to revoke access and return or destroy data when the relationship ends?</t>
  </si>
  <si>
    <t xml:space="preserve">GV.SC-10</t>
  </si>
  <si>
    <t xml:space="preserve">Q11</t>
  </si>
  <si>
    <t xml:space="preserve">BC / DR</t>
  </si>
  <si>
    <t xml:space="preserve">Does the vendor maintain and test business continuity and disaster recovery plans?</t>
  </si>
  <si>
    <t xml:space="preserve">ID.IM-04 / PR.DS-11</t>
  </si>
  <si>
    <t xml:space="preserve">Q12</t>
  </si>
  <si>
    <t xml:space="preserve">Vuln Mgmt</t>
  </si>
  <si>
    <t xml:space="preserve">Does the vendor run vulnerability scanning and timely patching?</t>
  </si>
  <si>
    <t xml:space="preserve">ID.RA-01 / PR.PS-02</t>
  </si>
  <si>
    <t xml:space="preserve">Vendor Control Assessment and Residual Risk (CSF GV.SC-06 / GV.SC-07)</t>
  </si>
  <si>
    <t xml:space="preserve">Answers (blue) are fictional: 0 = No / unknown, 1 = Partial, 2 = Yes. Risk Index = Criticality x (1 - Control Score).</t>
  </si>
  <si>
    <t xml:space="preserve">Q1
Contract Clauses</t>
  </si>
  <si>
    <t xml:space="preserve">Q2
Certification</t>
  </si>
  <si>
    <t xml:space="preserve">Q3
Due Diligence</t>
  </si>
  <si>
    <t xml:space="preserve">Q4
MFA</t>
  </si>
  <si>
    <t xml:space="preserve">Q5
Encryption</t>
  </si>
  <si>
    <t xml:space="preserve">Q6
Incident SLA</t>
  </si>
  <si>
    <t xml:space="preserve">Q7
IR Exercises</t>
  </si>
  <si>
    <t xml:space="preserve">Q8
Ongoing Monitoring</t>
  </si>
  <si>
    <t xml:space="preserve">Q9
Sub-processors</t>
  </si>
  <si>
    <t xml:space="preserve">Q10
Offboarding</t>
  </si>
  <si>
    <t xml:space="preserve">Q11
BC / DR</t>
  </si>
  <si>
    <t xml:space="preserve">Q12
Vuln Mgmt</t>
  </si>
  <si>
    <t xml:space="preserve">Total (max 24)</t>
  </si>
  <si>
    <t xml:space="preserve">Control Score</t>
  </si>
  <si>
    <t xml:space="preserve">Control Rating</t>
  </si>
  <si>
    <t xml:space="preserve">Risk Index</t>
  </si>
  <si>
    <t xml:space="preserve">Residual Risk</t>
  </si>
  <si>
    <t xml:space="preserve">Third-Party Risk Register</t>
  </si>
  <si>
    <t xml:space="preserve">Score = Likelihood x Impact (1-5 each; blue = input). Rating: &gt;= 15 High, 8-14 Medium, below 8 Low.</t>
  </si>
  <si>
    <t xml:space="preserve">Risk ID</t>
  </si>
  <si>
    <t xml:space="preserve">Risk Description</t>
  </si>
  <si>
    <t xml:space="preserve">CSF 2.0 Subcategory</t>
  </si>
  <si>
    <t xml:space="preserve">Likelihood (1-5)</t>
  </si>
  <si>
    <t xml:space="preserve">Impact (1-5)</t>
  </si>
  <si>
    <t xml:space="preserve">Score</t>
  </si>
  <si>
    <t xml:space="preserve">Rating</t>
  </si>
  <si>
    <t xml:space="preserve">Treatment</t>
  </si>
  <si>
    <t xml:space="preserve">Recommended Action</t>
  </si>
  <si>
    <t xml:space="preserve">Owner</t>
  </si>
  <si>
    <t xml:space="preserve">Target Timeline</t>
  </si>
  <si>
    <t xml:space="preserve">R-01</t>
  </si>
  <si>
    <t xml:space="preserve">MSP holds admin access to endpoints with no security clauses in its contract and no monitoring of its activity.</t>
  </si>
  <si>
    <t xml:space="preserve">GV.SC-05 / DE.CM-06</t>
  </si>
  <si>
    <t xml:space="preserve">Mitigate</t>
  </si>
  <si>
    <t xml:space="preserve">Add security requirements and an access-monitoring clause to the MSP contract; enforce MFA and log all privileged sessions.</t>
  </si>
  <si>
    <t xml:space="preserve">CISO</t>
  </si>
  <si>
    <t xml:space="preserve">30 days</t>
  </si>
  <si>
    <t xml:space="preserve">R-02</t>
  </si>
  <si>
    <t xml:space="preserve">Overseas support team handles customer PII, partly on BYOD devices, with no contractual security requirements or training evidence.</t>
  </si>
  <si>
    <t xml:space="preserve">GV.SC-05 / PR.AT-02</t>
  </si>
  <si>
    <t xml:space="preserve">Require security awareness training and device controls contractually; restrict customer-data access to managed devices.</t>
  </si>
  <si>
    <t xml:space="preserve">CISO / Head of IT</t>
  </si>
  <si>
    <t xml:space="preserve">60 days</t>
  </si>
  <si>
    <t xml:space="preserve">R-03</t>
  </si>
  <si>
    <t xml:space="preserve">Regulatory-critical vendor onboarded without due diligence and with no contractual incident-notification deadline.</t>
  </si>
  <si>
    <t xml:space="preserve">GV.SC-06 / GV.SC-08</t>
  </si>
  <si>
    <t xml:space="preserve">Run a retrospective due diligence review; negotiate an incident-notification SLA and request a full SOC 2 Type II report.</t>
  </si>
  <si>
    <t xml:space="preserve">Compliance &amp; MLRO</t>
  </si>
  <si>
    <t xml:space="preserve">R-04</t>
  </si>
  <si>
    <t xml:space="preserve">All Tier 1 vendors</t>
  </si>
  <si>
    <t xml:space="preserve">Critical vendors are not included in incident response planning or exercises, so coordination during a breach is untested.</t>
  </si>
  <si>
    <t xml:space="preserve">GV.SC-08 / ID.IM-02</t>
  </si>
  <si>
    <t xml:space="preserve">Document vendor contacts and responsibilities in the incident response plan; include Tier 1 vendors in an annual tabletop exercise.</t>
  </si>
  <si>
    <t xml:space="preserve">90 days</t>
  </si>
  <si>
    <t xml:space="preserve">R-05</t>
  </si>
  <si>
    <t xml:space="preserve">All vendors</t>
  </si>
  <si>
    <t xml:space="preserve">No defined offboarding process: access may not be revoked and data may not be returned or destroyed when a vendor relationship ends.</t>
  </si>
  <si>
    <t xml:space="preserve">Create a vendor offboarding checklist covering access revocation, data return or destruction, and certification of deletion.</t>
  </si>
  <si>
    <t xml:space="preserve">Head of IT</t>
  </si>
  <si>
    <t xml:space="preserve">R-06</t>
  </si>
  <si>
    <t xml:space="preserve">Settlement outage or vendor failure has no contingency plan, which would halt core revenue-generating transactions.</t>
  </si>
  <si>
    <t xml:space="preserve">GV.SC-07 / ID.IM-04</t>
  </si>
  <si>
    <t xml:space="preserve">Define recovery objectives with PaySettle and document a fallback settlement procedure; review annually.</t>
  </si>
  <si>
    <t xml:space="preserve">Head of Product/Engineering</t>
  </si>
  <si>
    <t xml:space="preserve">R-07</t>
  </si>
  <si>
    <t xml:space="preserve">No MeridianPay-specific security clauses and no shared-responsibility documentation for the primary hosting provider.</t>
  </si>
  <si>
    <t xml:space="preserve">GV.SC-05 / GV.RM-04</t>
  </si>
  <si>
    <t xml:space="preserve">Document the shared-responsibility model and map it to MeridianPay's controls; track AWS compliance reports annually.</t>
  </si>
  <si>
    <t xml:space="preserve">R-08</t>
  </si>
  <si>
    <t xml:space="preserve">No periodic reassessment: vendor risk is only considered at onboarding, so changes in vendor security posture go unnoticed.</t>
  </si>
  <si>
    <t xml:space="preserve">Reassess Tier 1 vendors annually and Tier 2 every two years using the questionnaire in this project.</t>
  </si>
  <si>
    <t xml:space="preserve">Next annual cycle</t>
  </si>
  <si>
    <t xml:space="preserve">R-09</t>
  </si>
  <si>
    <t xml:space="preserve">Employee payroll data held by a SaaS vendor with inconsistent MFA on the MeridianPay side.</t>
  </si>
  <si>
    <t xml:space="preserve">PR.AA-03 / GV.SC-05</t>
  </si>
  <si>
    <t xml:space="preserve">Enforce MFA for all HR/payroll users and request the vendor's latest security attestation.</t>
  </si>
  <si>
    <t xml:space="preserve">R-10</t>
  </si>
  <si>
    <t xml:space="preserve">Limited customer contact data shared with the marketing agency, with no data-handling terms.</t>
  </si>
  <si>
    <t xml:space="preserve">Accept</t>
  </si>
  <si>
    <t xml:space="preserve">Accept for now; add a standard data-handling clause at contract renewal.</t>
  </si>
  <si>
    <t xml:space="preserve">Next contract renewal</t>
  </si>
  <si>
    <t xml:space="preserve">MeridianPay Vendor Risk — Summary</t>
  </si>
  <si>
    <t xml:space="preserve">Vendors by Tier</t>
  </si>
  <si>
    <t xml:space="preserve"># Vendors</t>
  </si>
  <si>
    <t xml:space="preserve">Avg Control Score</t>
  </si>
  <si>
    <t xml:space="preserve">Tier 1 - Critical</t>
  </si>
  <si>
    <t xml:space="preserve">Tier 2 - Important</t>
  </si>
  <si>
    <t xml:space="preserve">Tier 3 - Standard</t>
  </si>
  <si>
    <t xml:space="preserve">Total</t>
  </si>
  <si>
    <t xml:space="preserve">Vendors by Residual Risk</t>
  </si>
  <si>
    <t xml:space="preserve">High</t>
  </si>
  <si>
    <t xml:space="preserve">Medium</t>
  </si>
  <si>
    <t xml:space="preserve">Low</t>
  </si>
  <si>
    <t xml:space="preserve">Risk Register by Rating</t>
  </si>
  <si>
    <t xml:space="preserve"># Risks</t>
  </si>
  <si>
    <t xml:space="preserve">Risk Index by Vendor</t>
  </si>
  <si>
    <t xml:space="preserve">Criticality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</si>
</sst>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2D2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Index by Vendor (higher = more residual risk)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Summary!D23</c:f>
              <c:strCache>
                <c:ptCount val="1"/>
                <c:pt idx="0">
                  <c:v>Risk Index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Summary!$A$24:$A$30</c:f>
              <c:strCache>
                <c:ptCount val="7"/>
                <c:pt idx="0">
                  <c:v>CloudCore (AWS environment)</c:v>
                </c:pt>
                <c:pt idx="1">
                  <c:v>ScreenSafe KYC/AML</c:v>
                </c:pt>
                <c:pt idx="2">
                  <c:v>PaySettle Gateway</c:v>
                </c:pt>
                <c:pt idx="3">
                  <c:v>HelpDesk Solutions (MSP)</c:v>
                </c:pt>
                <c:pt idx="4">
                  <c:v>CloudHR Payroll</c:v>
                </c:pt>
                <c:pt idx="5">
                  <c:v>BrightWave Support Outsourcing</c:v>
                </c:pt>
                <c:pt idx="6">
                  <c:v>AdReach Marketing Agency</c:v>
                </c:pt>
              </c:strCache>
            </c:strRef>
          </c:cat>
          <c:val>
            <c:numRef>
              <c:f>Summary!$D$24:$D$30</c:f>
              <c:numCache>
                <c:formatCode>0.0</c:formatCode>
                <c:ptCount val="7"/>
                <c:pt idx="0">
                  <c:v>3</c:v>
                </c:pt>
                <c:pt idx="1">
                  <c:v>5.3</c:v>
                </c:pt>
                <c:pt idx="2">
                  <c:v>2</c:v>
                </c:pt>
                <c:pt idx="3">
                  <c:v>5.8</c:v>
                </c:pt>
                <c:pt idx="4">
                  <c:v>2.5</c:v>
                </c:pt>
                <c:pt idx="5">
                  <c:v>5.5</c:v>
                </c:pt>
                <c:pt idx="6">
                  <c:v>2.6</c:v>
                </c:pt>
              </c:numCache>
            </c:numRef>
          </c:val>
        </c:ser>
        <c:gapWidth val="150"/>
        <c:overlap val="0"/>
        <c:axId val="91965764"/>
        <c:axId val="38103613"/>
      </c:barChart>
      <c:catAx>
        <c:axId val="91965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03613"/>
        <c:crosses val="autoZero"/>
        <c:auto val="1"/>
        <c:lblAlgn val="ctr"/>
        <c:lblOffset val="100"/>
        <c:noMultiLvlLbl val="0"/>
      </c:catAx>
      <c:valAx>
        <c:axId val="38103613"/>
        <c:scaling>
          <c:orientation val="minMax"/>
          <c:max val="9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657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130680</xdr:rowOff>
    </xdr:from>
    <xdr:to>
      <xdr:col>17</xdr:col>
      <xdr:colOff>473040</xdr:colOff>
      <xdr:row>20</xdr:row>
      <xdr:rowOff>80280</xdr:rowOff>
    </xdr:to>
    <xdr:graphicFrame>
      <xdr:nvGraphicFramePr>
        <xdr:cNvPr id="0" name="Chart 1"/>
        <xdr:cNvGraphicFramePr/>
      </xdr:nvGraphicFramePr>
      <xdr:xfrm>
        <a:off x="7518960" y="3808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60" hidden="false" customHeight="tru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30" hidden="false" customHeight="tru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30" hidden="false" customHeight="true" outlineLevel="0" collapsed="false">
      <c r="A9" s="2" t="s">
        <v>6</v>
      </c>
    </row>
    <row r="10" customFormat="false" ht="30" hidden="false" customHeight="true" outlineLevel="0" collapsed="false">
      <c r="A10" s="2" t="s">
        <v>7</v>
      </c>
    </row>
    <row r="11" customFormat="false" ht="30" hidden="false" customHeight="tru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30" hidden="false" customHeight="tru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30" hidden="false" customHeight="true" outlineLevel="0" collapsed="false">
      <c r="A24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19.7" hidden="false" customHeight="false" outlineLevel="0" collapsed="false">
      <c r="A1" s="4" t="s">
        <v>19</v>
      </c>
    </row>
    <row r="2" customFormat="false" ht="15" hidden="false" customHeight="false" outlineLevel="0" collapsed="false">
      <c r="A2" s="5" t="s">
        <v>20</v>
      </c>
    </row>
    <row r="4" customFormat="false" ht="43.5" hidden="false" customHeight="true" outlineLevel="0" collapsed="false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</row>
    <row r="5" customFormat="false" ht="42" hidden="false" customHeight="true" outlineLevel="0" collapsed="false">
      <c r="A5" s="7" t="s">
        <v>29</v>
      </c>
      <c r="B5" s="8" t="s">
        <v>30</v>
      </c>
      <c r="C5" s="9" t="n">
        <v>3</v>
      </c>
      <c r="D5" s="9" t="n">
        <v>3</v>
      </c>
      <c r="E5" s="9" t="n">
        <v>3</v>
      </c>
      <c r="F5" s="10" t="n">
        <f aca="false">SUM(C5:E5)</f>
        <v>9</v>
      </c>
      <c r="G5" s="11" t="str">
        <f aca="false">IF(F5&gt;=8,"Tier 1 - Critical",IF(F5&gt;=6,"Tier 2 - Important","Tier 3 - Standard"))</f>
        <v>Tier 1 - Critical</v>
      </c>
      <c r="H5" s="8" t="s">
        <v>31</v>
      </c>
    </row>
    <row r="6" customFormat="false" ht="42" hidden="false" customHeight="true" outlineLevel="0" collapsed="false">
      <c r="A6" s="7" t="s">
        <v>32</v>
      </c>
      <c r="B6" s="8" t="s">
        <v>33</v>
      </c>
      <c r="C6" s="9" t="n">
        <v>3</v>
      </c>
      <c r="D6" s="9" t="n">
        <v>2</v>
      </c>
      <c r="E6" s="9" t="n">
        <v>3</v>
      </c>
      <c r="F6" s="10" t="n">
        <f aca="false">SUM(C6:E6)</f>
        <v>8</v>
      </c>
      <c r="G6" s="11" t="str">
        <f aca="false">IF(F6&gt;=8,"Tier 1 - Critical",IF(F6&gt;=6,"Tier 2 - Important","Tier 3 - Standard"))</f>
        <v>Tier 1 - Critical</v>
      </c>
      <c r="H6" s="8" t="s">
        <v>34</v>
      </c>
    </row>
    <row r="7" customFormat="false" ht="42" hidden="false" customHeight="true" outlineLevel="0" collapsed="false">
      <c r="A7" s="7" t="s">
        <v>35</v>
      </c>
      <c r="B7" s="8" t="s">
        <v>36</v>
      </c>
      <c r="C7" s="9" t="n">
        <v>3</v>
      </c>
      <c r="D7" s="9" t="n">
        <v>2</v>
      </c>
      <c r="E7" s="9" t="n">
        <v>3</v>
      </c>
      <c r="F7" s="10" t="n">
        <f aca="false">SUM(C7:E7)</f>
        <v>8</v>
      </c>
      <c r="G7" s="11" t="str">
        <f aca="false">IF(F7&gt;=8,"Tier 1 - Critical",IF(F7&gt;=6,"Tier 2 - Important","Tier 3 - Standard"))</f>
        <v>Tier 1 - Critical</v>
      </c>
      <c r="H7" s="8" t="s">
        <v>37</v>
      </c>
    </row>
    <row r="8" customFormat="false" ht="42" hidden="false" customHeight="true" outlineLevel="0" collapsed="false">
      <c r="A8" s="7" t="s">
        <v>38</v>
      </c>
      <c r="B8" s="8" t="s">
        <v>39</v>
      </c>
      <c r="C8" s="9" t="n">
        <v>2</v>
      </c>
      <c r="D8" s="9" t="n">
        <v>3</v>
      </c>
      <c r="E8" s="9" t="n">
        <v>2</v>
      </c>
      <c r="F8" s="10" t="n">
        <f aca="false">SUM(C8:E8)</f>
        <v>7</v>
      </c>
      <c r="G8" s="11" t="str">
        <f aca="false">IF(F8&gt;=8,"Tier 1 - Critical",IF(F8&gt;=6,"Tier 2 - Important","Tier 3 - Standard"))</f>
        <v>Tier 2 - Important</v>
      </c>
      <c r="H8" s="8" t="s">
        <v>40</v>
      </c>
    </row>
    <row r="9" customFormat="false" ht="42" hidden="false" customHeight="true" outlineLevel="0" collapsed="false">
      <c r="A9" s="7" t="s">
        <v>41</v>
      </c>
      <c r="B9" s="8" t="s">
        <v>42</v>
      </c>
      <c r="C9" s="9" t="n">
        <v>2</v>
      </c>
      <c r="D9" s="9" t="n">
        <v>1</v>
      </c>
      <c r="E9" s="9" t="n">
        <v>2</v>
      </c>
      <c r="F9" s="10" t="n">
        <f aca="false">SUM(C9:E9)</f>
        <v>5</v>
      </c>
      <c r="G9" s="11" t="str">
        <f aca="false">IF(F9&gt;=8,"Tier 1 - Critical",IF(F9&gt;=6,"Tier 2 - Important","Tier 3 - Standard"))</f>
        <v>Tier 3 - Standard</v>
      </c>
      <c r="H9" s="8" t="s">
        <v>43</v>
      </c>
    </row>
    <row r="10" customFormat="false" ht="42" hidden="false" customHeight="true" outlineLevel="0" collapsed="false">
      <c r="A10" s="7" t="s">
        <v>44</v>
      </c>
      <c r="B10" s="8" t="s">
        <v>45</v>
      </c>
      <c r="C10" s="9" t="n">
        <v>2</v>
      </c>
      <c r="D10" s="9" t="n">
        <v>2</v>
      </c>
      <c r="E10" s="9" t="n">
        <v>2</v>
      </c>
      <c r="F10" s="10" t="n">
        <f aca="false">SUM(C10:E10)</f>
        <v>6</v>
      </c>
      <c r="G10" s="11" t="str">
        <f aca="false">IF(F10&gt;=8,"Tier 1 - Critical",IF(F10&gt;=6,"Tier 2 - Important","Tier 3 - Standard"))</f>
        <v>Tier 2 - Important</v>
      </c>
      <c r="H10" s="8" t="s">
        <v>46</v>
      </c>
    </row>
    <row r="11" customFormat="false" ht="42" hidden="false" customHeight="true" outlineLevel="0" collapsed="false">
      <c r="A11" s="7" t="s">
        <v>47</v>
      </c>
      <c r="B11" s="8" t="s">
        <v>48</v>
      </c>
      <c r="C11" s="9" t="n">
        <v>1</v>
      </c>
      <c r="D11" s="9" t="n">
        <v>1</v>
      </c>
      <c r="E11" s="9" t="n">
        <v>1</v>
      </c>
      <c r="F11" s="10" t="n">
        <f aca="false">SUM(C11:E11)</f>
        <v>3</v>
      </c>
      <c r="G11" s="11" t="str">
        <f aca="false">IF(F11&gt;=8,"Tier 1 - Critical",IF(F11&gt;=6,"Tier 2 - Important","Tier 3 - Standard"))</f>
        <v>Tier 3 - Standard</v>
      </c>
      <c r="H11" s="8" t="s">
        <v>49</v>
      </c>
    </row>
    <row r="14" customFormat="false" ht="15" hidden="false" customHeight="false" outlineLevel="0" collapsed="false">
      <c r="A14" s="12" t="s">
        <v>50</v>
      </c>
    </row>
    <row r="15" customFormat="false" ht="21.75" hidden="false" customHeight="true" outlineLevel="0" collapsed="false">
      <c r="A15" s="6" t="s">
        <v>51</v>
      </c>
      <c r="B15" s="6" t="s">
        <v>52</v>
      </c>
      <c r="C15" s="6" t="s">
        <v>53</v>
      </c>
      <c r="D15" s="6" t="s">
        <v>54</v>
      </c>
    </row>
    <row r="16" customFormat="false" ht="31.5" hidden="false" customHeight="true" outlineLevel="0" collapsed="false">
      <c r="A16" s="7" t="s">
        <v>55</v>
      </c>
      <c r="B16" s="8" t="s">
        <v>56</v>
      </c>
      <c r="C16" s="8" t="s">
        <v>57</v>
      </c>
      <c r="D16" s="8" t="s">
        <v>58</v>
      </c>
    </row>
    <row r="17" customFormat="false" ht="31.5" hidden="false" customHeight="true" outlineLevel="0" collapsed="false">
      <c r="A17" s="7" t="s">
        <v>59</v>
      </c>
      <c r="B17" s="8" t="s">
        <v>60</v>
      </c>
      <c r="C17" s="8" t="s">
        <v>61</v>
      </c>
      <c r="D17" s="8" t="s">
        <v>62</v>
      </c>
    </row>
    <row r="18" customFormat="false" ht="31.5" hidden="false" customHeight="true" outlineLevel="0" collapsed="false">
      <c r="A18" s="7" t="s">
        <v>63</v>
      </c>
      <c r="B18" s="8" t="s">
        <v>64</v>
      </c>
      <c r="C18" s="8" t="s">
        <v>65</v>
      </c>
      <c r="D18" s="8" t="s">
        <v>66</v>
      </c>
    </row>
  </sheetData>
  <conditionalFormatting sqref="G5:G11">
    <cfRule type="expression" priority="2" aboveAverage="0" equalAverage="0" bottom="0" percent="0" rank="0" text="" dxfId="0">
      <formula>LEFT(G5,6)="Tier 1"</formula>
    </cfRule>
    <cfRule type="expression" priority="3" aboveAverage="0" equalAverage="0" bottom="0" percent="0" rank="0" text="" dxfId="1">
      <formula>LEFT(G5,6)="Tier 2"</formula>
    </cfRule>
    <cfRule type="expression" priority="4" aboveAverage="0" equalAverage="0" bottom="0" percent="0" rank="0" text="" dxfId="2">
      <formula>LEFT(G5,6)="Tier 3"</formula>
    </cfRule>
  </conditionalFormatting>
  <dataValidations count="1">
    <dataValidation allowBlank="false" error="Enter a whole number from 1 to 3." errorStyle="stop" errorTitle="Invalid score" operator="between" showDropDown="false" showErrorMessage="true" showInputMessage="false" sqref="C5:E11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90"/>
    <col collapsed="false" customWidth="true" hidden="false" outlineLevel="0" max="4" min="4" style="0" width="24"/>
  </cols>
  <sheetData>
    <row r="1" customFormat="false" ht="19.7" hidden="false" customHeight="false" outlineLevel="0" collapsed="false">
      <c r="A1" s="4" t="s">
        <v>67</v>
      </c>
    </row>
    <row r="2" customFormat="false" ht="15" hidden="false" customHeight="false" outlineLevel="0" collapsed="false">
      <c r="A2" s="5" t="s">
        <v>68</v>
      </c>
    </row>
    <row r="4" customFormat="false" ht="25.5" hidden="false" customHeight="true" outlineLevel="0" collapsed="false">
      <c r="A4" s="6" t="s">
        <v>69</v>
      </c>
      <c r="B4" s="6" t="s">
        <v>70</v>
      </c>
      <c r="C4" s="6" t="s">
        <v>71</v>
      </c>
      <c r="D4" s="6" t="s">
        <v>72</v>
      </c>
    </row>
    <row r="5" customFormat="false" ht="31.5" hidden="false" customHeight="true" outlineLevel="0" collapsed="false">
      <c r="A5" s="7" t="s">
        <v>73</v>
      </c>
      <c r="B5" s="8" t="s">
        <v>74</v>
      </c>
      <c r="C5" s="8" t="s">
        <v>75</v>
      </c>
      <c r="D5" s="8" t="s">
        <v>76</v>
      </c>
    </row>
    <row r="6" customFormat="false" ht="31.5" hidden="false" customHeight="true" outlineLevel="0" collapsed="false">
      <c r="A6" s="7" t="s">
        <v>77</v>
      </c>
      <c r="B6" s="8" t="s">
        <v>78</v>
      </c>
      <c r="C6" s="8" t="s">
        <v>79</v>
      </c>
      <c r="D6" s="8" t="s">
        <v>80</v>
      </c>
    </row>
    <row r="7" customFormat="false" ht="31.5" hidden="false" customHeight="true" outlineLevel="0" collapsed="false">
      <c r="A7" s="7" t="s">
        <v>81</v>
      </c>
      <c r="B7" s="8" t="s">
        <v>82</v>
      </c>
      <c r="C7" s="8" t="s">
        <v>83</v>
      </c>
      <c r="D7" s="8" t="s">
        <v>84</v>
      </c>
    </row>
    <row r="8" customFormat="false" ht="31.5" hidden="false" customHeight="true" outlineLevel="0" collapsed="false">
      <c r="A8" s="7" t="s">
        <v>85</v>
      </c>
      <c r="B8" s="8" t="s">
        <v>86</v>
      </c>
      <c r="C8" s="8" t="s">
        <v>87</v>
      </c>
      <c r="D8" s="8" t="s">
        <v>88</v>
      </c>
    </row>
    <row r="9" customFormat="false" ht="31.5" hidden="false" customHeight="true" outlineLevel="0" collapsed="false">
      <c r="A9" s="7" t="s">
        <v>89</v>
      </c>
      <c r="B9" s="8" t="s">
        <v>90</v>
      </c>
      <c r="C9" s="8" t="s">
        <v>91</v>
      </c>
      <c r="D9" s="8" t="s">
        <v>92</v>
      </c>
    </row>
    <row r="10" customFormat="false" ht="31.5" hidden="false" customHeight="true" outlineLevel="0" collapsed="false">
      <c r="A10" s="7" t="s">
        <v>93</v>
      </c>
      <c r="B10" s="8" t="s">
        <v>94</v>
      </c>
      <c r="C10" s="8" t="s">
        <v>95</v>
      </c>
      <c r="D10" s="8" t="s">
        <v>96</v>
      </c>
    </row>
    <row r="11" customFormat="false" ht="31.5" hidden="false" customHeight="true" outlineLevel="0" collapsed="false">
      <c r="A11" s="7" t="s">
        <v>97</v>
      </c>
      <c r="B11" s="8" t="s">
        <v>98</v>
      </c>
      <c r="C11" s="8" t="s">
        <v>99</v>
      </c>
      <c r="D11" s="8" t="s">
        <v>100</v>
      </c>
    </row>
    <row r="12" customFormat="false" ht="31.5" hidden="false" customHeight="true" outlineLevel="0" collapsed="false">
      <c r="A12" s="7" t="s">
        <v>101</v>
      </c>
      <c r="B12" s="8" t="s">
        <v>102</v>
      </c>
      <c r="C12" s="8" t="s">
        <v>103</v>
      </c>
      <c r="D12" s="8" t="s">
        <v>104</v>
      </c>
    </row>
    <row r="13" customFormat="false" ht="31.5" hidden="false" customHeight="true" outlineLevel="0" collapsed="false">
      <c r="A13" s="7" t="s">
        <v>105</v>
      </c>
      <c r="B13" s="8" t="s">
        <v>106</v>
      </c>
      <c r="C13" s="8" t="s">
        <v>107</v>
      </c>
      <c r="D13" s="8" t="s">
        <v>76</v>
      </c>
    </row>
    <row r="14" customFormat="false" ht="31.5" hidden="false" customHeight="true" outlineLevel="0" collapsed="false">
      <c r="A14" s="7" t="s">
        <v>108</v>
      </c>
      <c r="B14" s="8" t="s">
        <v>109</v>
      </c>
      <c r="C14" s="8" t="s">
        <v>110</v>
      </c>
      <c r="D14" s="8" t="s">
        <v>111</v>
      </c>
    </row>
    <row r="15" customFormat="false" ht="31.5" hidden="false" customHeight="true" outlineLevel="0" collapsed="false">
      <c r="A15" s="7" t="s">
        <v>112</v>
      </c>
      <c r="B15" s="8" t="s">
        <v>113</v>
      </c>
      <c r="C15" s="8" t="s">
        <v>114</v>
      </c>
      <c r="D15" s="8" t="s">
        <v>115</v>
      </c>
    </row>
    <row r="16" customFormat="false" ht="31.5" hidden="false" customHeight="true" outlineLevel="0" collapsed="false">
      <c r="A16" s="7" t="s">
        <v>116</v>
      </c>
      <c r="B16" s="8" t="s">
        <v>117</v>
      </c>
      <c r="C16" s="8" t="s">
        <v>118</v>
      </c>
      <c r="D16" s="8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3" min="3" style="0" width="19"/>
    <col collapsed="false" customWidth="true" hidden="false" outlineLevel="0" max="15" min="4" style="0" width="10.51"/>
    <col collapsed="false" customWidth="true" hidden="false" outlineLevel="0" max="17" min="16" style="0" width="10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0" min="20" style="0" width="11"/>
  </cols>
  <sheetData>
    <row r="1" customFormat="false" ht="19.7" hidden="false" customHeight="false" outlineLevel="0" collapsed="false">
      <c r="A1" s="4" t="s">
        <v>120</v>
      </c>
    </row>
    <row r="2" customFormat="false" ht="15" hidden="false" customHeight="false" outlineLevel="0" collapsed="false">
      <c r="A2" s="5" t="s">
        <v>121</v>
      </c>
    </row>
    <row r="4" customFormat="false" ht="49.5" hidden="false" customHeight="true" outlineLevel="0" collapsed="false">
      <c r="A4" s="6" t="s">
        <v>21</v>
      </c>
      <c r="B4" s="6" t="s">
        <v>26</v>
      </c>
      <c r="C4" s="6" t="s">
        <v>27</v>
      </c>
      <c r="D4" s="6" t="s">
        <v>122</v>
      </c>
      <c r="E4" s="6" t="s">
        <v>123</v>
      </c>
      <c r="F4" s="6" t="s">
        <v>124</v>
      </c>
      <c r="G4" s="6" t="s">
        <v>125</v>
      </c>
      <c r="H4" s="6" t="s">
        <v>126</v>
      </c>
      <c r="I4" s="6" t="s">
        <v>127</v>
      </c>
      <c r="J4" s="6" t="s">
        <v>128</v>
      </c>
      <c r="K4" s="6" t="s">
        <v>129</v>
      </c>
      <c r="L4" s="6" t="s">
        <v>130</v>
      </c>
      <c r="M4" s="6" t="s">
        <v>131</v>
      </c>
      <c r="N4" s="6" t="s">
        <v>132</v>
      </c>
      <c r="O4" s="6" t="s">
        <v>133</v>
      </c>
      <c r="P4" s="6" t="s">
        <v>134</v>
      </c>
      <c r="Q4" s="6" t="s">
        <v>135</v>
      </c>
      <c r="R4" s="6" t="s">
        <v>136</v>
      </c>
      <c r="S4" s="6" t="s">
        <v>137</v>
      </c>
      <c r="T4" s="6" t="s">
        <v>138</v>
      </c>
    </row>
    <row r="5" customFormat="false" ht="33.75" hidden="false" customHeight="true" outlineLevel="0" collapsed="false">
      <c r="A5" s="13" t="str">
        <f aca="false">'Vendor Tiering'!A5</f>
        <v>CloudCore (AWS environment)</v>
      </c>
      <c r="B5" s="14" t="n">
        <f aca="false">'Vendor Tiering'!F5</f>
        <v>9</v>
      </c>
      <c r="C5" s="15" t="str">
        <f aca="false">'Vendor Tiering'!G5</f>
        <v>Tier 1 - Critical</v>
      </c>
      <c r="D5" s="16" t="n">
        <v>1</v>
      </c>
      <c r="E5" s="16" t="n">
        <v>2</v>
      </c>
      <c r="F5" s="16" t="n">
        <v>1</v>
      </c>
      <c r="G5" s="16" t="n">
        <v>2</v>
      </c>
      <c r="H5" s="16" t="n">
        <v>2</v>
      </c>
      <c r="I5" s="16" t="n">
        <v>1</v>
      </c>
      <c r="J5" s="16" t="n">
        <v>0</v>
      </c>
      <c r="K5" s="16" t="n">
        <v>0</v>
      </c>
      <c r="L5" s="16" t="n">
        <v>2</v>
      </c>
      <c r="M5" s="16" t="n">
        <v>1</v>
      </c>
      <c r="N5" s="16" t="n">
        <v>2</v>
      </c>
      <c r="O5" s="16" t="n">
        <v>2</v>
      </c>
      <c r="P5" s="14" t="n">
        <f aca="false">SUM(D5:O5)</f>
        <v>16</v>
      </c>
      <c r="Q5" s="17" t="n">
        <f aca="false">P5/(COLUMNS(D5:O5)*2)</f>
        <v>0.666666666666667</v>
      </c>
      <c r="R5" s="18" t="str">
        <f aca="false">IF(Q5&gt;=0.75,"Strong",IF(Q5&gt;=0.5,"Moderate","Weak"))</f>
        <v>Moderate</v>
      </c>
      <c r="S5" s="19" t="n">
        <f aca="false">ROUND(B5*(1-Q5),1)</f>
        <v>3</v>
      </c>
      <c r="T5" s="18" t="str">
        <f aca="false">IF(S5&gt;=5,"High",IF(S5&gt;=3,"Medium","Low"))</f>
        <v>Medium</v>
      </c>
    </row>
    <row r="6" customFormat="false" ht="33.75" hidden="false" customHeight="true" outlineLevel="0" collapsed="false">
      <c r="A6" s="13" t="str">
        <f aca="false">'Vendor Tiering'!A6</f>
        <v>ScreenSafe KYC/AML</v>
      </c>
      <c r="B6" s="14" t="n">
        <f aca="false">'Vendor Tiering'!F6</f>
        <v>8</v>
      </c>
      <c r="C6" s="15" t="str">
        <f aca="false">'Vendor Tiering'!G6</f>
        <v>Tier 1 - Critical</v>
      </c>
      <c r="D6" s="16" t="n">
        <v>1</v>
      </c>
      <c r="E6" s="16" t="n">
        <v>1</v>
      </c>
      <c r="F6" s="16" t="n">
        <v>0</v>
      </c>
      <c r="G6" s="16" t="n">
        <v>1</v>
      </c>
      <c r="H6" s="16" t="n">
        <v>2</v>
      </c>
      <c r="I6" s="16" t="n">
        <v>0</v>
      </c>
      <c r="J6" s="16" t="n">
        <v>0</v>
      </c>
      <c r="K6" s="16" t="n">
        <v>0</v>
      </c>
      <c r="L6" s="16" t="n">
        <v>1</v>
      </c>
      <c r="M6" s="16" t="n">
        <v>0</v>
      </c>
      <c r="N6" s="16" t="n">
        <v>1</v>
      </c>
      <c r="O6" s="16" t="n">
        <v>1</v>
      </c>
      <c r="P6" s="14" t="n">
        <f aca="false">SUM(D6:O6)</f>
        <v>8</v>
      </c>
      <c r="Q6" s="17" t="n">
        <f aca="false">P6/(COLUMNS(D6:O6)*2)</f>
        <v>0.333333333333333</v>
      </c>
      <c r="R6" s="18" t="str">
        <f aca="false">IF(Q6&gt;=0.75,"Strong",IF(Q6&gt;=0.5,"Moderate","Weak"))</f>
        <v>Weak</v>
      </c>
      <c r="S6" s="19" t="n">
        <f aca="false">ROUND(B6*(1-Q6),1)</f>
        <v>5.3</v>
      </c>
      <c r="T6" s="18" t="str">
        <f aca="false">IF(S6&gt;=5,"High",IF(S6&gt;=3,"Medium","Low"))</f>
        <v>High</v>
      </c>
    </row>
    <row r="7" customFormat="false" ht="33.75" hidden="false" customHeight="true" outlineLevel="0" collapsed="false">
      <c r="A7" s="13" t="str">
        <f aca="false">'Vendor Tiering'!A7</f>
        <v>PaySettle Gateway</v>
      </c>
      <c r="B7" s="14" t="n">
        <f aca="false">'Vendor Tiering'!F7</f>
        <v>8</v>
      </c>
      <c r="C7" s="15" t="str">
        <f aca="false">'Vendor Tiering'!G7</f>
        <v>Tier 1 - Critical</v>
      </c>
      <c r="D7" s="16" t="n">
        <v>2</v>
      </c>
      <c r="E7" s="16" t="n">
        <v>2</v>
      </c>
      <c r="F7" s="16" t="n">
        <v>1</v>
      </c>
      <c r="G7" s="16" t="n">
        <v>2</v>
      </c>
      <c r="H7" s="16" t="n">
        <v>2</v>
      </c>
      <c r="I7" s="16" t="n">
        <v>2</v>
      </c>
      <c r="J7" s="16" t="n">
        <v>0</v>
      </c>
      <c r="K7" s="16" t="n">
        <v>1</v>
      </c>
      <c r="L7" s="16" t="n">
        <v>1</v>
      </c>
      <c r="M7" s="16" t="n">
        <v>1</v>
      </c>
      <c r="N7" s="16" t="n">
        <v>2</v>
      </c>
      <c r="O7" s="16" t="n">
        <v>2</v>
      </c>
      <c r="P7" s="14" t="n">
        <f aca="false">SUM(D7:O7)</f>
        <v>18</v>
      </c>
      <c r="Q7" s="17" t="n">
        <f aca="false">P7/(COLUMNS(D7:O7)*2)</f>
        <v>0.75</v>
      </c>
      <c r="R7" s="18" t="str">
        <f aca="false">IF(Q7&gt;=0.75,"Strong",IF(Q7&gt;=0.5,"Moderate","Weak"))</f>
        <v>Strong</v>
      </c>
      <c r="S7" s="19" t="n">
        <f aca="false">ROUND(B7*(1-Q7),1)</f>
        <v>2</v>
      </c>
      <c r="T7" s="18" t="str">
        <f aca="false">IF(S7&gt;=5,"High",IF(S7&gt;=3,"Medium","Low"))</f>
        <v>Low</v>
      </c>
    </row>
    <row r="8" customFormat="false" ht="33.75" hidden="false" customHeight="true" outlineLevel="0" collapsed="false">
      <c r="A8" s="13" t="str">
        <f aca="false">'Vendor Tiering'!A8</f>
        <v>HelpDesk Solutions (MSP)</v>
      </c>
      <c r="B8" s="14" t="n">
        <f aca="false">'Vendor Tiering'!F8</f>
        <v>7</v>
      </c>
      <c r="C8" s="15" t="str">
        <f aca="false">'Vendor Tiering'!G8</f>
        <v>Tier 2 - Important</v>
      </c>
      <c r="D8" s="16" t="n">
        <v>0</v>
      </c>
      <c r="E8" s="16" t="n">
        <v>0</v>
      </c>
      <c r="F8" s="16" t="n">
        <v>0</v>
      </c>
      <c r="G8" s="16" t="n">
        <v>1</v>
      </c>
      <c r="H8" s="16" t="n">
        <v>1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1</v>
      </c>
      <c r="O8" s="16" t="n">
        <v>1</v>
      </c>
      <c r="P8" s="14" t="n">
        <f aca="false">SUM(D8:O8)</f>
        <v>4</v>
      </c>
      <c r="Q8" s="17" t="n">
        <f aca="false">P8/(COLUMNS(D8:O8)*2)</f>
        <v>0.166666666666667</v>
      </c>
      <c r="R8" s="18" t="str">
        <f aca="false">IF(Q8&gt;=0.75,"Strong",IF(Q8&gt;=0.5,"Moderate","Weak"))</f>
        <v>Weak</v>
      </c>
      <c r="S8" s="19" t="n">
        <f aca="false">ROUND(B8*(1-Q8),1)</f>
        <v>5.8</v>
      </c>
      <c r="T8" s="18" t="str">
        <f aca="false">IF(S8&gt;=5,"High",IF(S8&gt;=3,"Medium","Low"))</f>
        <v>High</v>
      </c>
    </row>
    <row r="9" customFormat="false" ht="33.75" hidden="false" customHeight="true" outlineLevel="0" collapsed="false">
      <c r="A9" s="13" t="str">
        <f aca="false">'Vendor Tiering'!A9</f>
        <v>CloudHR Payroll</v>
      </c>
      <c r="B9" s="14" t="n">
        <f aca="false">'Vendor Tiering'!F9</f>
        <v>5</v>
      </c>
      <c r="C9" s="15" t="str">
        <f aca="false">'Vendor Tiering'!G9</f>
        <v>Tier 3 - Standard</v>
      </c>
      <c r="D9" s="16" t="n">
        <v>1</v>
      </c>
      <c r="E9" s="16" t="n">
        <v>2</v>
      </c>
      <c r="F9" s="16" t="n">
        <v>1</v>
      </c>
      <c r="G9" s="16" t="n">
        <v>1</v>
      </c>
      <c r="H9" s="16" t="n">
        <v>2</v>
      </c>
      <c r="I9" s="16" t="n">
        <v>1</v>
      </c>
      <c r="J9" s="16" t="n">
        <v>0</v>
      </c>
      <c r="K9" s="16" t="n">
        <v>0</v>
      </c>
      <c r="L9" s="16" t="n">
        <v>1</v>
      </c>
      <c r="M9" s="16" t="n">
        <v>1</v>
      </c>
      <c r="N9" s="16" t="n">
        <v>1</v>
      </c>
      <c r="O9" s="16" t="n">
        <v>1</v>
      </c>
      <c r="P9" s="14" t="n">
        <f aca="false">SUM(D9:O9)</f>
        <v>12</v>
      </c>
      <c r="Q9" s="17" t="n">
        <f aca="false">P9/(COLUMNS(D9:O9)*2)</f>
        <v>0.5</v>
      </c>
      <c r="R9" s="18" t="str">
        <f aca="false">IF(Q9&gt;=0.75,"Strong",IF(Q9&gt;=0.5,"Moderate","Weak"))</f>
        <v>Moderate</v>
      </c>
      <c r="S9" s="19" t="n">
        <f aca="false">ROUND(B9*(1-Q9),1)</f>
        <v>2.5</v>
      </c>
      <c r="T9" s="18" t="str">
        <f aca="false">IF(S9&gt;=5,"High",IF(S9&gt;=3,"Medium","Low"))</f>
        <v>Low</v>
      </c>
    </row>
    <row r="10" customFormat="false" ht="33.75" hidden="false" customHeight="true" outlineLevel="0" collapsed="false">
      <c r="A10" s="13" t="str">
        <f aca="false">'Vendor Tiering'!A10</f>
        <v>BrightWave Support Outsourcing</v>
      </c>
      <c r="B10" s="14" t="n">
        <f aca="false">'Vendor Tiering'!F10</f>
        <v>6</v>
      </c>
      <c r="C10" s="15" t="str">
        <f aca="false">'Vendor Tiering'!G10</f>
        <v>Tier 2 - Important</v>
      </c>
      <c r="D10" s="16" t="n">
        <v>0</v>
      </c>
      <c r="E10" s="16" t="n">
        <v>0</v>
      </c>
      <c r="F10" s="16" t="n">
        <v>0</v>
      </c>
      <c r="G10" s="16" t="n">
        <v>1</v>
      </c>
      <c r="H10" s="16" t="n">
        <v>1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4" t="n">
        <f aca="false">SUM(D10:O10)</f>
        <v>2</v>
      </c>
      <c r="Q10" s="17" t="n">
        <f aca="false">P10/(COLUMNS(D10:O10)*2)</f>
        <v>0.0833333333333333</v>
      </c>
      <c r="R10" s="18" t="str">
        <f aca="false">IF(Q10&gt;=0.75,"Strong",IF(Q10&gt;=0.5,"Moderate","Weak"))</f>
        <v>Weak</v>
      </c>
      <c r="S10" s="19" t="n">
        <f aca="false">ROUND(B10*(1-Q10),1)</f>
        <v>5.5</v>
      </c>
      <c r="T10" s="18" t="str">
        <f aca="false">IF(S10&gt;=5,"High",IF(S10&gt;=3,"Medium","Low"))</f>
        <v>High</v>
      </c>
    </row>
    <row r="11" customFormat="false" ht="33.75" hidden="false" customHeight="true" outlineLevel="0" collapsed="false">
      <c r="A11" s="13" t="str">
        <f aca="false">'Vendor Tiering'!A11</f>
        <v>AdReach Marketing Agency</v>
      </c>
      <c r="B11" s="14" t="n">
        <f aca="false">'Vendor Tiering'!F11</f>
        <v>3</v>
      </c>
      <c r="C11" s="15" t="str">
        <f aca="false">'Vendor Tiering'!G11</f>
        <v>Tier 3 - Standard</v>
      </c>
      <c r="D11" s="16" t="n">
        <v>1</v>
      </c>
      <c r="E11" s="16" t="n">
        <v>0</v>
      </c>
      <c r="F11" s="16" t="n">
        <v>0</v>
      </c>
      <c r="G11" s="16" t="n">
        <v>1</v>
      </c>
      <c r="H11" s="16" t="n">
        <v>1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4" t="n">
        <f aca="false">SUM(D11:O11)</f>
        <v>3</v>
      </c>
      <c r="Q11" s="17" t="n">
        <f aca="false">P11/(COLUMNS(D11:O11)*2)</f>
        <v>0.125</v>
      </c>
      <c r="R11" s="18" t="str">
        <f aca="false">IF(Q11&gt;=0.75,"Strong",IF(Q11&gt;=0.5,"Moderate","Weak"))</f>
        <v>Weak</v>
      </c>
      <c r="S11" s="19" t="n">
        <f aca="false">ROUND(B11*(1-Q11),1)</f>
        <v>2.6</v>
      </c>
      <c r="T11" s="18" t="str">
        <f aca="false">IF(S11&gt;=5,"High",IF(S11&gt;=3,"Medium","Low"))</f>
        <v>Low</v>
      </c>
    </row>
  </sheetData>
  <conditionalFormatting sqref="D5:O11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2">
      <formula>2</formula>
    </cfRule>
  </conditionalFormatting>
  <conditionalFormatting sqref="C5:C11">
    <cfRule type="expression" priority="5" aboveAverage="0" equalAverage="0" bottom="0" percent="0" rank="0" text="" dxfId="0">
      <formula>LEFT(C5,6)="Tier 1"</formula>
    </cfRule>
    <cfRule type="expression" priority="6" aboveAverage="0" equalAverage="0" bottom="0" percent="0" rank="0" text="" dxfId="1">
      <formula>LEFT(C5,6)="Tier 2"</formula>
    </cfRule>
    <cfRule type="expression" priority="7" aboveAverage="0" equalAverage="0" bottom="0" percent="0" rank="0" text="" dxfId="2">
      <formula>LEFT(C5,6)="Tier 3"</formula>
    </cfRule>
  </conditionalFormatting>
  <conditionalFormatting sqref="R5:R11">
    <cfRule type="cellIs" priority="8" operator="equal" aboveAverage="0" equalAverage="0" bottom="0" percent="0" rank="0" text="" dxfId="0">
      <formula>"High"</formula>
    </cfRule>
    <cfRule type="cellIs" priority="9" operator="equal" aboveAverage="0" equalAverage="0" bottom="0" percent="0" rank="0" text="" dxfId="1">
      <formula>"Medium"</formula>
    </cfRule>
    <cfRule type="cellIs" priority="10" operator="equal" aboveAverage="0" equalAverage="0" bottom="0" percent="0" rank="0" text="" dxfId="2">
      <formula>"Low"</formula>
    </cfRule>
    <cfRule type="cellIs" priority="11" operator="equal" aboveAverage="0" equalAverage="0" bottom="0" percent="0" rank="0" text="" dxfId="0">
      <formula>"Weak"</formula>
    </cfRule>
    <cfRule type="cellIs" priority="12" operator="equal" aboveAverage="0" equalAverage="0" bottom="0" percent="0" rank="0" text="" dxfId="1">
      <formula>"Moderate"</formula>
    </cfRule>
    <cfRule type="cellIs" priority="13" operator="equal" aboveAverage="0" equalAverage="0" bottom="0" percent="0" rank="0" text="" dxfId="2">
      <formula>"Strong"</formula>
    </cfRule>
    <cfRule type="cellIs" priority="14" operator="equal" aboveAverage="0" equalAverage="0" bottom="0" percent="0" rank="0" text="" dxfId="2">
      <formula>"Accept"</formula>
    </cfRule>
    <cfRule type="cellIs" priority="15" operator="equal" aboveAverage="0" equalAverage="0" bottom="0" percent="0" rank="0" text="" dxfId="1">
      <formula>"Mitigate"</formula>
    </cfRule>
  </conditionalFormatting>
  <conditionalFormatting sqref="T5:T11">
    <cfRule type="cellIs" priority="16" operator="equal" aboveAverage="0" equalAverage="0" bottom="0" percent="0" rank="0" text="" dxfId="0">
      <formula>"High"</formula>
    </cfRule>
    <cfRule type="cellIs" priority="17" operator="equal" aboveAverage="0" equalAverage="0" bottom="0" percent="0" rank="0" text="" dxfId="1">
      <formula>"Medium"</formula>
    </cfRule>
    <cfRule type="cellIs" priority="18" operator="equal" aboveAverage="0" equalAverage="0" bottom="0" percent="0" rank="0" text="" dxfId="2">
      <formula>"Low"</formula>
    </cfRule>
    <cfRule type="cellIs" priority="19" operator="equal" aboveAverage="0" equalAverage="0" bottom="0" percent="0" rank="0" text="" dxfId="0">
      <formula>"Weak"</formula>
    </cfRule>
    <cfRule type="cellIs" priority="20" operator="equal" aboveAverage="0" equalAverage="0" bottom="0" percent="0" rank="0" text="" dxfId="1">
      <formula>"Moderate"</formula>
    </cfRule>
    <cfRule type="cellIs" priority="21" operator="equal" aboveAverage="0" equalAverage="0" bottom="0" percent="0" rank="0" text="" dxfId="2">
      <formula>"Strong"</formula>
    </cfRule>
    <cfRule type="cellIs" priority="22" operator="equal" aboveAverage="0" equalAverage="0" bottom="0" percent="0" rank="0" text="" dxfId="2">
      <formula>"Accept"</formula>
    </cfRule>
    <cfRule type="cellIs" priority="23" operator="equal" aboveAverage="0" equalAverage="0" bottom="0" percent="0" rank="0" text="" dxfId="1">
      <formula>"Mitigate"</formula>
    </cfRule>
  </conditionalFormatting>
  <dataValidations count="1">
    <dataValidation allowBlank="false" error="Enter 0, 1 or 2." errorStyle="stop" errorTitle="Invalid answer" operator="between" showDropDown="false" showErrorMessage="true" showInputMessage="false" sqref="D5:O11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52"/>
    <col collapsed="false" customWidth="true" hidden="false" outlineLevel="0" max="11" min="11" style="0" width="20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4" t="s">
        <v>139</v>
      </c>
    </row>
    <row r="2" customFormat="false" ht="15" hidden="false" customHeight="false" outlineLevel="0" collapsed="false">
      <c r="A2" s="5" t="s">
        <v>140</v>
      </c>
    </row>
    <row r="4" customFormat="false" ht="36" hidden="false" customHeight="true" outlineLevel="0" collapsed="false">
      <c r="A4" s="6" t="s">
        <v>141</v>
      </c>
      <c r="B4" s="6" t="s">
        <v>21</v>
      </c>
      <c r="C4" s="6" t="s">
        <v>142</v>
      </c>
      <c r="D4" s="6" t="s">
        <v>143</v>
      </c>
      <c r="E4" s="6" t="s">
        <v>144</v>
      </c>
      <c r="F4" s="6" t="s">
        <v>145</v>
      </c>
      <c r="G4" s="6" t="s">
        <v>146</v>
      </c>
      <c r="H4" s="6" t="s">
        <v>147</v>
      </c>
      <c r="I4" s="6" t="s">
        <v>148</v>
      </c>
      <c r="J4" s="6" t="s">
        <v>149</v>
      </c>
      <c r="K4" s="6" t="s">
        <v>150</v>
      </c>
      <c r="L4" s="6" t="s">
        <v>151</v>
      </c>
    </row>
    <row r="5" customFormat="false" ht="61.5" hidden="false" customHeight="true" outlineLevel="0" collapsed="false">
      <c r="A5" s="20" t="s">
        <v>152</v>
      </c>
      <c r="B5" s="8" t="s">
        <v>38</v>
      </c>
      <c r="C5" s="8" t="s">
        <v>153</v>
      </c>
      <c r="D5" s="8" t="s">
        <v>154</v>
      </c>
      <c r="E5" s="9" t="n">
        <v>4</v>
      </c>
      <c r="F5" s="9" t="n">
        <v>5</v>
      </c>
      <c r="G5" s="10" t="n">
        <f aca="false">E5*F5</f>
        <v>20</v>
      </c>
      <c r="H5" s="11" t="str">
        <f aca="false">IF(G5&gt;=15,"High",IF(G5&gt;=8,"Medium","Low"))</f>
        <v>High</v>
      </c>
      <c r="I5" s="11" t="s">
        <v>155</v>
      </c>
      <c r="J5" s="8" t="s">
        <v>156</v>
      </c>
      <c r="K5" s="8" t="s">
        <v>157</v>
      </c>
      <c r="L5" s="8" t="s">
        <v>158</v>
      </c>
    </row>
    <row r="6" customFormat="false" ht="61.5" hidden="false" customHeight="true" outlineLevel="0" collapsed="false">
      <c r="A6" s="20" t="s">
        <v>159</v>
      </c>
      <c r="B6" s="8" t="s">
        <v>44</v>
      </c>
      <c r="C6" s="8" t="s">
        <v>160</v>
      </c>
      <c r="D6" s="8" t="s">
        <v>161</v>
      </c>
      <c r="E6" s="9" t="n">
        <v>4</v>
      </c>
      <c r="F6" s="9" t="n">
        <v>4</v>
      </c>
      <c r="G6" s="10" t="n">
        <f aca="false">E6*F6</f>
        <v>16</v>
      </c>
      <c r="H6" s="11" t="str">
        <f aca="false">IF(G6&gt;=15,"High",IF(G6&gt;=8,"Medium","Low"))</f>
        <v>High</v>
      </c>
      <c r="I6" s="11" t="s">
        <v>155</v>
      </c>
      <c r="J6" s="8" t="s">
        <v>162</v>
      </c>
      <c r="K6" s="8" t="s">
        <v>163</v>
      </c>
      <c r="L6" s="8" t="s">
        <v>164</v>
      </c>
    </row>
    <row r="7" customFormat="false" ht="61.5" hidden="false" customHeight="true" outlineLevel="0" collapsed="false">
      <c r="A7" s="20" t="s">
        <v>165</v>
      </c>
      <c r="B7" s="8" t="s">
        <v>32</v>
      </c>
      <c r="C7" s="8" t="s">
        <v>166</v>
      </c>
      <c r="D7" s="8" t="s">
        <v>167</v>
      </c>
      <c r="E7" s="9" t="n">
        <v>3</v>
      </c>
      <c r="F7" s="9" t="n">
        <v>5</v>
      </c>
      <c r="G7" s="10" t="n">
        <f aca="false">E7*F7</f>
        <v>15</v>
      </c>
      <c r="H7" s="11" t="str">
        <f aca="false">IF(G7&gt;=15,"High",IF(G7&gt;=8,"Medium","Low"))</f>
        <v>High</v>
      </c>
      <c r="I7" s="11" t="s">
        <v>155</v>
      </c>
      <c r="J7" s="8" t="s">
        <v>168</v>
      </c>
      <c r="K7" s="8" t="s">
        <v>169</v>
      </c>
      <c r="L7" s="8" t="s">
        <v>164</v>
      </c>
    </row>
    <row r="8" customFormat="false" ht="61.5" hidden="false" customHeight="true" outlineLevel="0" collapsed="false">
      <c r="A8" s="20" t="s">
        <v>170</v>
      </c>
      <c r="B8" s="8" t="s">
        <v>171</v>
      </c>
      <c r="C8" s="8" t="s">
        <v>172</v>
      </c>
      <c r="D8" s="8" t="s">
        <v>173</v>
      </c>
      <c r="E8" s="9" t="n">
        <v>3</v>
      </c>
      <c r="F8" s="9" t="n">
        <v>4</v>
      </c>
      <c r="G8" s="10" t="n">
        <f aca="false">E8*F8</f>
        <v>12</v>
      </c>
      <c r="H8" s="11" t="str">
        <f aca="false">IF(G8&gt;=15,"High",IF(G8&gt;=8,"Medium","Low"))</f>
        <v>Medium</v>
      </c>
      <c r="I8" s="11" t="s">
        <v>155</v>
      </c>
      <c r="J8" s="8" t="s">
        <v>174</v>
      </c>
      <c r="K8" s="8" t="s">
        <v>157</v>
      </c>
      <c r="L8" s="8" t="s">
        <v>175</v>
      </c>
    </row>
    <row r="9" customFormat="false" ht="61.5" hidden="false" customHeight="true" outlineLevel="0" collapsed="false">
      <c r="A9" s="20" t="s">
        <v>176</v>
      </c>
      <c r="B9" s="8" t="s">
        <v>177</v>
      </c>
      <c r="C9" s="8" t="s">
        <v>178</v>
      </c>
      <c r="D9" s="8" t="s">
        <v>111</v>
      </c>
      <c r="E9" s="9" t="n">
        <v>3</v>
      </c>
      <c r="F9" s="9" t="n">
        <v>4</v>
      </c>
      <c r="G9" s="10" t="n">
        <f aca="false">E9*F9</f>
        <v>12</v>
      </c>
      <c r="H9" s="11" t="str">
        <f aca="false">IF(G9&gt;=15,"High",IF(G9&gt;=8,"Medium","Low"))</f>
        <v>Medium</v>
      </c>
      <c r="I9" s="11" t="s">
        <v>155</v>
      </c>
      <c r="J9" s="8" t="s">
        <v>179</v>
      </c>
      <c r="K9" s="8" t="s">
        <v>180</v>
      </c>
      <c r="L9" s="8" t="s">
        <v>175</v>
      </c>
    </row>
    <row r="10" customFormat="false" ht="61.5" hidden="false" customHeight="true" outlineLevel="0" collapsed="false">
      <c r="A10" s="20" t="s">
        <v>181</v>
      </c>
      <c r="B10" s="8" t="s">
        <v>35</v>
      </c>
      <c r="C10" s="8" t="s">
        <v>182</v>
      </c>
      <c r="D10" s="8" t="s">
        <v>183</v>
      </c>
      <c r="E10" s="9" t="n">
        <v>2</v>
      </c>
      <c r="F10" s="9" t="n">
        <v>5</v>
      </c>
      <c r="G10" s="10" t="n">
        <f aca="false">E10*F10</f>
        <v>10</v>
      </c>
      <c r="H10" s="11" t="str">
        <f aca="false">IF(G10&gt;=15,"High",IF(G10&gt;=8,"Medium","Low"))</f>
        <v>Medium</v>
      </c>
      <c r="I10" s="11" t="s">
        <v>155</v>
      </c>
      <c r="J10" s="8" t="s">
        <v>184</v>
      </c>
      <c r="K10" s="8" t="s">
        <v>185</v>
      </c>
      <c r="L10" s="8" t="s">
        <v>175</v>
      </c>
    </row>
    <row r="11" customFormat="false" ht="61.5" hidden="false" customHeight="true" outlineLevel="0" collapsed="false">
      <c r="A11" s="20" t="s">
        <v>186</v>
      </c>
      <c r="B11" s="8" t="s">
        <v>29</v>
      </c>
      <c r="C11" s="8" t="s">
        <v>187</v>
      </c>
      <c r="D11" s="8" t="s">
        <v>188</v>
      </c>
      <c r="E11" s="9" t="n">
        <v>2</v>
      </c>
      <c r="F11" s="9" t="n">
        <v>5</v>
      </c>
      <c r="G11" s="10" t="n">
        <f aca="false">E11*F11</f>
        <v>10</v>
      </c>
      <c r="H11" s="11" t="str">
        <f aca="false">IF(G11&gt;=15,"High",IF(G11&gt;=8,"Medium","Low"))</f>
        <v>Medium</v>
      </c>
      <c r="I11" s="11" t="s">
        <v>155</v>
      </c>
      <c r="J11" s="8" t="s">
        <v>189</v>
      </c>
      <c r="K11" s="8" t="s">
        <v>180</v>
      </c>
      <c r="L11" s="8" t="s">
        <v>175</v>
      </c>
    </row>
    <row r="12" customFormat="false" ht="61.5" hidden="false" customHeight="true" outlineLevel="0" collapsed="false">
      <c r="A12" s="20" t="s">
        <v>190</v>
      </c>
      <c r="B12" s="8" t="s">
        <v>177</v>
      </c>
      <c r="C12" s="8" t="s">
        <v>191</v>
      </c>
      <c r="D12" s="8" t="s">
        <v>104</v>
      </c>
      <c r="E12" s="9" t="n">
        <v>3</v>
      </c>
      <c r="F12" s="9" t="n">
        <v>3</v>
      </c>
      <c r="G12" s="10" t="n">
        <f aca="false">E12*F12</f>
        <v>9</v>
      </c>
      <c r="H12" s="11" t="str">
        <f aca="false">IF(G12&gt;=15,"High",IF(G12&gt;=8,"Medium","Low"))</f>
        <v>Medium</v>
      </c>
      <c r="I12" s="11" t="s">
        <v>155</v>
      </c>
      <c r="J12" s="8" t="s">
        <v>192</v>
      </c>
      <c r="K12" s="8" t="s">
        <v>157</v>
      </c>
      <c r="L12" s="8" t="s">
        <v>193</v>
      </c>
    </row>
    <row r="13" customFormat="false" ht="61.5" hidden="false" customHeight="true" outlineLevel="0" collapsed="false">
      <c r="A13" s="20" t="s">
        <v>194</v>
      </c>
      <c r="B13" s="8" t="s">
        <v>41</v>
      </c>
      <c r="C13" s="8" t="s">
        <v>195</v>
      </c>
      <c r="D13" s="8" t="s">
        <v>196</v>
      </c>
      <c r="E13" s="9" t="n">
        <v>2</v>
      </c>
      <c r="F13" s="9" t="n">
        <v>3</v>
      </c>
      <c r="G13" s="10" t="n">
        <f aca="false">E13*F13</f>
        <v>6</v>
      </c>
      <c r="H13" s="11" t="str">
        <f aca="false">IF(G13&gt;=15,"High",IF(G13&gt;=8,"Medium","Low"))</f>
        <v>Low</v>
      </c>
      <c r="I13" s="11" t="s">
        <v>155</v>
      </c>
      <c r="J13" s="8" t="s">
        <v>197</v>
      </c>
      <c r="K13" s="8" t="s">
        <v>180</v>
      </c>
      <c r="L13" s="8" t="s">
        <v>193</v>
      </c>
    </row>
    <row r="14" customFormat="false" ht="61.5" hidden="false" customHeight="true" outlineLevel="0" collapsed="false">
      <c r="A14" s="20" t="s">
        <v>198</v>
      </c>
      <c r="B14" s="8" t="s">
        <v>47</v>
      </c>
      <c r="C14" s="8" t="s">
        <v>199</v>
      </c>
      <c r="D14" s="8" t="s">
        <v>76</v>
      </c>
      <c r="E14" s="9" t="n">
        <v>2</v>
      </c>
      <c r="F14" s="9" t="n">
        <v>2</v>
      </c>
      <c r="G14" s="10" t="n">
        <f aca="false">E14*F14</f>
        <v>4</v>
      </c>
      <c r="H14" s="11" t="str">
        <f aca="false">IF(G14&gt;=15,"High",IF(G14&gt;=8,"Medium","Low"))</f>
        <v>Low</v>
      </c>
      <c r="I14" s="11" t="s">
        <v>200</v>
      </c>
      <c r="J14" s="8" t="s">
        <v>201</v>
      </c>
      <c r="K14" s="8" t="s">
        <v>169</v>
      </c>
      <c r="L14" s="8" t="s">
        <v>202</v>
      </c>
    </row>
  </sheetData>
  <conditionalFormatting sqref="H5:H14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  <cfRule type="cellIs" priority="5" operator="equal" aboveAverage="0" equalAverage="0" bottom="0" percent="0" rank="0" text="" dxfId="0">
      <formula>"Weak"</formula>
    </cfRule>
    <cfRule type="cellIs" priority="6" operator="equal" aboveAverage="0" equalAverage="0" bottom="0" percent="0" rank="0" text="" dxfId="1">
      <formula>"Moderate"</formula>
    </cfRule>
    <cfRule type="cellIs" priority="7" operator="equal" aboveAverage="0" equalAverage="0" bottom="0" percent="0" rank="0" text="" dxfId="2">
      <formula>"Strong"</formula>
    </cfRule>
    <cfRule type="cellIs" priority="8" operator="equal" aboveAverage="0" equalAverage="0" bottom="0" percent="0" rank="0" text="" dxfId="2">
      <formula>"Accept"</formula>
    </cfRule>
    <cfRule type="cellIs" priority="9" operator="equal" aboveAverage="0" equalAverage="0" bottom="0" percent="0" rank="0" text="" dxfId="1">
      <formula>"Mitigate"</formula>
    </cfRule>
  </conditionalFormatting>
  <conditionalFormatting sqref="I5:I14">
    <cfRule type="cellIs" priority="10" operator="equal" aboveAverage="0" equalAverage="0" bottom="0" percent="0" rank="0" text="" dxfId="0">
      <formula>"High"</formula>
    </cfRule>
    <cfRule type="cellIs" priority="11" operator="equal" aboveAverage="0" equalAverage="0" bottom="0" percent="0" rank="0" text="" dxfId="1">
      <formula>"Medium"</formula>
    </cfRule>
    <cfRule type="cellIs" priority="12" operator="equal" aboveAverage="0" equalAverage="0" bottom="0" percent="0" rank="0" text="" dxfId="2">
      <formula>"Low"</formula>
    </cfRule>
    <cfRule type="cellIs" priority="13" operator="equal" aboveAverage="0" equalAverage="0" bottom="0" percent="0" rank="0" text="" dxfId="0">
      <formula>"Weak"</formula>
    </cfRule>
    <cfRule type="cellIs" priority="14" operator="equal" aboveAverage="0" equalAverage="0" bottom="0" percent="0" rank="0" text="" dxfId="1">
      <formula>"Moderate"</formula>
    </cfRule>
    <cfRule type="cellIs" priority="15" operator="equal" aboveAverage="0" equalAverage="0" bottom="0" percent="0" rank="0" text="" dxfId="2">
      <formula>"Strong"</formula>
    </cfRule>
    <cfRule type="cellIs" priority="16" operator="equal" aboveAverage="0" equalAverage="0" bottom="0" percent="0" rank="0" text="" dxfId="2">
      <formula>"Accept"</formula>
    </cfRule>
    <cfRule type="cellIs" priority="17" operator="equal" aboveAverage="0" equalAverage="0" bottom="0" percent="0" rank="0" text="" dxfId="1">
      <formula>"Mitigate"</formula>
    </cfRule>
  </conditionalFormatting>
  <dataValidations count="1">
    <dataValidation allowBlank="false" error="Enter a whole number from 1 to 5." errorStyle="stop" errorTitle="Invalid score" operator="between" showDropDown="false" showErrorMessage="true" showInputMessage="false" sqref="E5:F1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4" t="s">
        <v>203</v>
      </c>
    </row>
    <row r="3" customFormat="false" ht="15" hidden="false" customHeight="false" outlineLevel="0" collapsed="false">
      <c r="A3" s="12" t="s">
        <v>204</v>
      </c>
    </row>
    <row r="4" customFormat="false" ht="27.75" hidden="false" customHeight="true" outlineLevel="0" collapsed="false">
      <c r="A4" s="6" t="s">
        <v>27</v>
      </c>
      <c r="B4" s="6" t="s">
        <v>205</v>
      </c>
      <c r="C4" s="6" t="s">
        <v>206</v>
      </c>
    </row>
    <row r="5" customFormat="false" ht="15" hidden="false" customHeight="false" outlineLevel="0" collapsed="false">
      <c r="A5" s="7" t="s">
        <v>207</v>
      </c>
      <c r="B5" s="10" t="n">
        <f aca="false">COUNTIF('Vendor Tiering'!$G$5:$G$11,A5)</f>
        <v>3</v>
      </c>
      <c r="C5" s="21" t="n">
        <f aca="false">AVERAGEIF('Vendor Assessment'!$C$5:$C$11,A5,'Vendor Assessment'!$Q$5:$Q$11)</f>
        <v>0.583333333333333</v>
      </c>
    </row>
    <row r="6" customFormat="false" ht="15" hidden="false" customHeight="false" outlineLevel="0" collapsed="false">
      <c r="A6" s="7" t="s">
        <v>208</v>
      </c>
      <c r="B6" s="10" t="n">
        <f aca="false">COUNTIF('Vendor Tiering'!$G$5:$G$11,A6)</f>
        <v>2</v>
      </c>
      <c r="C6" s="21" t="n">
        <f aca="false">AVERAGEIF('Vendor Assessment'!$C$5:$C$11,A6,'Vendor Assessment'!$Q$5:$Q$11)</f>
        <v>0.125</v>
      </c>
    </row>
    <row r="7" customFormat="false" ht="15" hidden="false" customHeight="false" outlineLevel="0" collapsed="false">
      <c r="A7" s="7" t="s">
        <v>209</v>
      </c>
      <c r="B7" s="10" t="n">
        <f aca="false">COUNTIF('Vendor Tiering'!$G$5:$G$11,A7)</f>
        <v>2</v>
      </c>
      <c r="C7" s="21" t="n">
        <f aca="false">AVERAGEIF('Vendor Assessment'!$C$5:$C$11,A7,'Vendor Assessment'!$Q$5:$Q$11)</f>
        <v>0.3125</v>
      </c>
    </row>
    <row r="8" customFormat="false" ht="15" hidden="false" customHeight="false" outlineLevel="0" collapsed="false">
      <c r="A8" s="7" t="s">
        <v>210</v>
      </c>
      <c r="B8" s="20" t="n">
        <f aca="false">SUM(B5:B7)</f>
        <v>7</v>
      </c>
      <c r="C8" s="22" t="n">
        <f aca="false">AVERAGE('Vendor Assessment'!$Q$5:$Q$11)</f>
        <v>0.375</v>
      </c>
    </row>
    <row r="10" customFormat="false" ht="15" hidden="false" customHeight="false" outlineLevel="0" collapsed="false">
      <c r="A10" s="12" t="s">
        <v>211</v>
      </c>
    </row>
    <row r="11" customFormat="false" ht="24" hidden="false" customHeight="true" outlineLevel="0" collapsed="false">
      <c r="A11" s="6" t="s">
        <v>147</v>
      </c>
      <c r="B11" s="6" t="s">
        <v>205</v>
      </c>
    </row>
    <row r="12" customFormat="false" ht="15" hidden="false" customHeight="false" outlineLevel="0" collapsed="false">
      <c r="A12" s="7" t="s">
        <v>212</v>
      </c>
      <c r="B12" s="10" t="n">
        <f aca="false">COUNTIF('Vendor Assessment'!$T$5:$T$11,A12)</f>
        <v>3</v>
      </c>
    </row>
    <row r="13" customFormat="false" ht="15" hidden="false" customHeight="false" outlineLevel="0" collapsed="false">
      <c r="A13" s="7" t="s">
        <v>213</v>
      </c>
      <c r="B13" s="10" t="n">
        <f aca="false">COUNTIF('Vendor Assessment'!$T$5:$T$11,A13)</f>
        <v>1</v>
      </c>
    </row>
    <row r="14" customFormat="false" ht="15" hidden="false" customHeight="false" outlineLevel="0" collapsed="false">
      <c r="A14" s="7" t="s">
        <v>214</v>
      </c>
      <c r="B14" s="10" t="n">
        <f aca="false">COUNTIF('Vendor Assessment'!$T$5:$T$11,A14)</f>
        <v>3</v>
      </c>
    </row>
    <row r="16" customFormat="false" ht="15" hidden="false" customHeight="false" outlineLevel="0" collapsed="false">
      <c r="A16" s="12" t="s">
        <v>215</v>
      </c>
    </row>
    <row r="17" customFormat="false" ht="24" hidden="false" customHeight="true" outlineLevel="0" collapsed="false">
      <c r="A17" s="6" t="s">
        <v>147</v>
      </c>
      <c r="B17" s="6" t="s">
        <v>216</v>
      </c>
    </row>
    <row r="18" customFormat="false" ht="15" hidden="false" customHeight="false" outlineLevel="0" collapsed="false">
      <c r="A18" s="7" t="s">
        <v>212</v>
      </c>
      <c r="B18" s="10" t="n">
        <f aca="false">COUNTIF('Risk Register'!$H$5:$H$14,A18)</f>
        <v>3</v>
      </c>
    </row>
    <row r="19" customFormat="false" ht="15" hidden="false" customHeight="false" outlineLevel="0" collapsed="false">
      <c r="A19" s="7" t="s">
        <v>213</v>
      </c>
      <c r="B19" s="10" t="n">
        <f aca="false">COUNTIF('Risk Register'!$H$5:$H$14,A19)</f>
        <v>5</v>
      </c>
    </row>
    <row r="20" customFormat="false" ht="15" hidden="false" customHeight="false" outlineLevel="0" collapsed="false">
      <c r="A20" s="7" t="s">
        <v>214</v>
      </c>
      <c r="B20" s="10" t="n">
        <f aca="false">COUNTIF('Risk Register'!$H$5:$H$14,A20)</f>
        <v>2</v>
      </c>
    </row>
    <row r="22" customFormat="false" ht="15" hidden="false" customHeight="false" outlineLevel="0" collapsed="false">
      <c r="A22" s="12" t="s">
        <v>217</v>
      </c>
    </row>
    <row r="23" customFormat="false" ht="27.75" hidden="false" customHeight="true" outlineLevel="0" collapsed="false">
      <c r="A23" s="6" t="s">
        <v>21</v>
      </c>
      <c r="B23" s="6" t="s">
        <v>218</v>
      </c>
      <c r="C23" s="6" t="s">
        <v>135</v>
      </c>
      <c r="D23" s="6" t="s">
        <v>137</v>
      </c>
      <c r="E23" s="6" t="s">
        <v>138</v>
      </c>
    </row>
    <row r="24" customFormat="false" ht="15" hidden="false" customHeight="false" outlineLevel="0" collapsed="false">
      <c r="A24" s="7" t="str">
        <f aca="false">'Vendor Assessment'!A5</f>
        <v>CloudCore (AWS environment)</v>
      </c>
      <c r="B24" s="10" t="n">
        <f aca="false">'Vendor Assessment'!B5</f>
        <v>9</v>
      </c>
      <c r="C24" s="21" t="n">
        <f aca="false">'Vendor Assessment'!Q5</f>
        <v>0.666666666666667</v>
      </c>
      <c r="D24" s="23" t="n">
        <f aca="false">'Vendor Assessment'!S5</f>
        <v>3</v>
      </c>
      <c r="E24" s="11" t="str">
        <f aca="false">'Vendor Assessment'!T5</f>
        <v>Medium</v>
      </c>
    </row>
    <row r="25" customFormat="false" ht="15" hidden="false" customHeight="false" outlineLevel="0" collapsed="false">
      <c r="A25" s="7" t="str">
        <f aca="false">'Vendor Assessment'!A6</f>
        <v>ScreenSafe KYC/AML</v>
      </c>
      <c r="B25" s="10" t="n">
        <f aca="false">'Vendor Assessment'!B6</f>
        <v>8</v>
      </c>
      <c r="C25" s="21" t="n">
        <f aca="false">'Vendor Assessment'!Q6</f>
        <v>0.333333333333333</v>
      </c>
      <c r="D25" s="23" t="n">
        <f aca="false">'Vendor Assessment'!S6</f>
        <v>5.3</v>
      </c>
      <c r="E25" s="11" t="str">
        <f aca="false">'Vendor Assessment'!T6</f>
        <v>High</v>
      </c>
    </row>
    <row r="26" customFormat="false" ht="15" hidden="false" customHeight="false" outlineLevel="0" collapsed="false">
      <c r="A26" s="7" t="str">
        <f aca="false">'Vendor Assessment'!A7</f>
        <v>PaySettle Gateway</v>
      </c>
      <c r="B26" s="10" t="n">
        <f aca="false">'Vendor Assessment'!B7</f>
        <v>8</v>
      </c>
      <c r="C26" s="21" t="n">
        <f aca="false">'Vendor Assessment'!Q7</f>
        <v>0.75</v>
      </c>
      <c r="D26" s="23" t="n">
        <f aca="false">'Vendor Assessment'!S7</f>
        <v>2</v>
      </c>
      <c r="E26" s="11" t="str">
        <f aca="false">'Vendor Assessment'!T7</f>
        <v>Low</v>
      </c>
    </row>
    <row r="27" customFormat="false" ht="15" hidden="false" customHeight="false" outlineLevel="0" collapsed="false">
      <c r="A27" s="7" t="str">
        <f aca="false">'Vendor Assessment'!A8</f>
        <v>HelpDesk Solutions (MSP)</v>
      </c>
      <c r="B27" s="10" t="n">
        <f aca="false">'Vendor Assessment'!B8</f>
        <v>7</v>
      </c>
      <c r="C27" s="21" t="n">
        <f aca="false">'Vendor Assessment'!Q8</f>
        <v>0.166666666666667</v>
      </c>
      <c r="D27" s="23" t="n">
        <f aca="false">'Vendor Assessment'!S8</f>
        <v>5.8</v>
      </c>
      <c r="E27" s="11" t="str">
        <f aca="false">'Vendor Assessment'!T8</f>
        <v>High</v>
      </c>
    </row>
    <row r="28" customFormat="false" ht="15" hidden="false" customHeight="false" outlineLevel="0" collapsed="false">
      <c r="A28" s="7" t="str">
        <f aca="false">'Vendor Assessment'!A9</f>
        <v>CloudHR Payroll</v>
      </c>
      <c r="B28" s="10" t="n">
        <f aca="false">'Vendor Assessment'!B9</f>
        <v>5</v>
      </c>
      <c r="C28" s="21" t="n">
        <f aca="false">'Vendor Assessment'!Q9</f>
        <v>0.5</v>
      </c>
      <c r="D28" s="23" t="n">
        <f aca="false">'Vendor Assessment'!S9</f>
        <v>2.5</v>
      </c>
      <c r="E28" s="11" t="str">
        <f aca="false">'Vendor Assessment'!T9</f>
        <v>Low</v>
      </c>
    </row>
    <row r="29" customFormat="false" ht="15" hidden="false" customHeight="false" outlineLevel="0" collapsed="false">
      <c r="A29" s="7" t="str">
        <f aca="false">'Vendor Assessment'!A10</f>
        <v>BrightWave Support Outsourcing</v>
      </c>
      <c r="B29" s="10" t="n">
        <f aca="false">'Vendor Assessment'!B10</f>
        <v>6</v>
      </c>
      <c r="C29" s="21" t="n">
        <f aca="false">'Vendor Assessment'!Q10</f>
        <v>0.0833333333333333</v>
      </c>
      <c r="D29" s="23" t="n">
        <f aca="false">'Vendor Assessment'!S10</f>
        <v>5.5</v>
      </c>
      <c r="E29" s="11" t="str">
        <f aca="false">'Vendor Assessment'!T10</f>
        <v>High</v>
      </c>
    </row>
    <row r="30" customFormat="false" ht="15" hidden="false" customHeight="false" outlineLevel="0" collapsed="false">
      <c r="A30" s="7" t="str">
        <f aca="false">'Vendor Assessment'!A11</f>
        <v>AdReach Marketing Agency</v>
      </c>
      <c r="B30" s="10" t="n">
        <f aca="false">'Vendor Assessment'!B11</f>
        <v>3</v>
      </c>
      <c r="C30" s="21" t="n">
        <f aca="false">'Vendor Assessment'!Q11</f>
        <v>0.125</v>
      </c>
      <c r="D30" s="23" t="n">
        <f aca="false">'Vendor Assessment'!S11</f>
        <v>2.6</v>
      </c>
      <c r="E30" s="11" t="str">
        <f aca="false">'Vendor Assessment'!T11</f>
        <v>Low</v>
      </c>
    </row>
  </sheetData>
  <conditionalFormatting sqref="A12:A14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  <cfRule type="cellIs" priority="5" operator="equal" aboveAverage="0" equalAverage="0" bottom="0" percent="0" rank="0" text="" dxfId="0">
      <formula>"Weak"</formula>
    </cfRule>
    <cfRule type="cellIs" priority="6" operator="equal" aboveAverage="0" equalAverage="0" bottom="0" percent="0" rank="0" text="" dxfId="1">
      <formula>"Moderate"</formula>
    </cfRule>
    <cfRule type="cellIs" priority="7" operator="equal" aboveAverage="0" equalAverage="0" bottom="0" percent="0" rank="0" text="" dxfId="2">
      <formula>"Strong"</formula>
    </cfRule>
    <cfRule type="cellIs" priority="8" operator="equal" aboveAverage="0" equalAverage="0" bottom="0" percent="0" rank="0" text="" dxfId="2">
      <formula>"Accept"</formula>
    </cfRule>
    <cfRule type="cellIs" priority="9" operator="equal" aboveAverage="0" equalAverage="0" bottom="0" percent="0" rank="0" text="" dxfId="1">
      <formula>"Mitigate"</formula>
    </cfRule>
  </conditionalFormatting>
  <conditionalFormatting sqref="A18:A20">
    <cfRule type="cellIs" priority="10" operator="equal" aboveAverage="0" equalAverage="0" bottom="0" percent="0" rank="0" text="" dxfId="0">
      <formula>"High"</formula>
    </cfRule>
    <cfRule type="cellIs" priority="11" operator="equal" aboveAverage="0" equalAverage="0" bottom="0" percent="0" rank="0" text="" dxfId="1">
      <formula>"Medium"</formula>
    </cfRule>
    <cfRule type="cellIs" priority="12" operator="equal" aboveAverage="0" equalAverage="0" bottom="0" percent="0" rank="0" text="" dxfId="2">
      <formula>"Low"</formula>
    </cfRule>
    <cfRule type="cellIs" priority="13" operator="equal" aboveAverage="0" equalAverage="0" bottom="0" percent="0" rank="0" text="" dxfId="0">
      <formula>"Weak"</formula>
    </cfRule>
    <cfRule type="cellIs" priority="14" operator="equal" aboveAverage="0" equalAverage="0" bottom="0" percent="0" rank="0" text="" dxfId="1">
      <formula>"Moderate"</formula>
    </cfRule>
    <cfRule type="cellIs" priority="15" operator="equal" aboveAverage="0" equalAverage="0" bottom="0" percent="0" rank="0" text="" dxfId="2">
      <formula>"Strong"</formula>
    </cfRule>
    <cfRule type="cellIs" priority="16" operator="equal" aboveAverage="0" equalAverage="0" bottom="0" percent="0" rank="0" text="" dxfId="2">
      <formula>"Accept"</formula>
    </cfRule>
    <cfRule type="cellIs" priority="17" operator="equal" aboveAverage="0" equalAverage="0" bottom="0" percent="0" rank="0" text="" dxfId="1">
      <formula>"Mitigate"</formula>
    </cfRule>
  </conditionalFormatting>
  <conditionalFormatting sqref="E24:E30">
    <cfRule type="cellIs" priority="18" operator="equal" aboveAverage="0" equalAverage="0" bottom="0" percent="0" rank="0" text="" dxfId="0">
      <formula>"High"</formula>
    </cfRule>
    <cfRule type="cellIs" priority="19" operator="equal" aboveAverage="0" equalAverage="0" bottom="0" percent="0" rank="0" text="" dxfId="1">
      <formula>"Medium"</formula>
    </cfRule>
    <cfRule type="cellIs" priority="20" operator="equal" aboveAverage="0" equalAverage="0" bottom="0" percent="0" rank="0" text="" dxfId="2">
      <formula>"Low"</formula>
    </cfRule>
    <cfRule type="cellIs" priority="21" operator="equal" aboveAverage="0" equalAverage="0" bottom="0" percent="0" rank="0" text="" dxfId="0">
      <formula>"Weak"</formula>
    </cfRule>
    <cfRule type="cellIs" priority="22" operator="equal" aboveAverage="0" equalAverage="0" bottom="0" percent="0" rank="0" text="" dxfId="1">
      <formula>"Moderate"</formula>
    </cfRule>
    <cfRule type="cellIs" priority="23" operator="equal" aboveAverage="0" equalAverage="0" bottom="0" percent="0" rank="0" text="" dxfId="2">
      <formula>"Strong"</formula>
    </cfRule>
    <cfRule type="cellIs" priority="24" operator="equal" aboveAverage="0" equalAverage="0" bottom="0" percent="0" rank="0" text="" dxfId="2">
      <formula>"Accept"</formula>
    </cfRule>
    <cfRule type="cellIs" priority="25" operator="equal" aboveAverage="0" equalAverage="0" bottom="0" percent="0" rank="0" text="" dxfId="1">
      <formula>"Mitigate"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2026-10-10T10:35:38Z</dcterms:created>
  <dc:creator>openpyxl</dc:creator>
  <dc:description/>
  <dc:language>en-US</dc:language>
  <cp:lastModifiedBy/>
  <dcterms:modified xsi:type="dcterms:W3CDTF">2026-10-10T14:35:42Z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