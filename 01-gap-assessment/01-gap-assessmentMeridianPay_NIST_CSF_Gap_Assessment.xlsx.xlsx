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y Personal files\Cybersecurity Career path\Standards &amp; Framework\NIST CSF\Projects\MeridianPay_NIST_CSF_Gap_Assessment.xlsx\Gap assesment\"/>
    </mc:Choice>
  </mc:AlternateContent>
  <xr:revisionPtr revIDLastSave="0" documentId="13_ncr:1_{A43A31B8-D67D-4BD2-830F-09EF9B2B0C31}" xr6:coauthVersionLast="47" xr6:coauthVersionMax="47" xr10:uidLastSave="{00000000-0000-0000-0000-000000000000}"/>
  <bookViews>
    <workbookView xWindow="28680" yWindow="-120" windowWidth="29040" windowHeight="15720" tabRatio="500" activeTab="1" xr2:uid="{00000000-000D-0000-FFFF-FFFF00000000}"/>
  </bookViews>
  <sheets>
    <sheet name="Instructions" sheetId="1" r:id="rId1"/>
    <sheet name="Gap Assessment" sheetId="2" r:id="rId2"/>
    <sheet name="Maturity Summa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3" l="1"/>
  <c r="D36" i="3"/>
  <c r="D35" i="3"/>
  <c r="D34" i="3"/>
  <c r="D33" i="3"/>
  <c r="D32" i="3"/>
  <c r="D31" i="3"/>
  <c r="D30" i="3"/>
  <c r="D29" i="3"/>
  <c r="D28" i="3"/>
  <c r="D27" i="3"/>
  <c r="D26" i="3"/>
  <c r="D25" i="3"/>
  <c r="D24" i="3"/>
  <c r="D23" i="3"/>
  <c r="D22" i="3"/>
  <c r="D21" i="3"/>
  <c r="D20" i="3"/>
  <c r="D19" i="3"/>
  <c r="D18" i="3"/>
  <c r="D17" i="3"/>
  <c r="D16" i="3"/>
  <c r="D11" i="3"/>
  <c r="C11" i="3"/>
  <c r="B11" i="3"/>
  <c r="D9" i="3"/>
  <c r="C9" i="3"/>
  <c r="B9" i="3"/>
  <c r="D8" i="3"/>
  <c r="C8" i="3"/>
  <c r="B8" i="3"/>
  <c r="D7" i="3"/>
  <c r="C7" i="3"/>
  <c r="B7" i="3"/>
  <c r="D6" i="3"/>
  <c r="C6" i="3"/>
  <c r="B6" i="3"/>
  <c r="D5" i="3"/>
  <c r="C5" i="3"/>
  <c r="B5" i="3"/>
  <c r="D4" i="3"/>
  <c r="C4" i="3"/>
  <c r="B4" i="3"/>
</calcChain>
</file>

<file path=xl/sharedStrings.xml><?xml version="1.0" encoding="utf-8"?>
<sst xmlns="http://schemas.openxmlformats.org/spreadsheetml/2006/main" count="1063" uniqueCount="446">
  <si>
    <t>MeridianPay Financial Services — NIST CSF 2.0 Gap / Maturity Assessment</t>
  </si>
  <si>
    <t>Purpose</t>
  </si>
  <si>
    <t>This workbook assesses MeridianPay's (fictional company) cybersecurity program against every Function, Category, and Subcategory in NIST Cybersecurity Framework (CSF) 2.0, using NIST's official Implementation Examples (Feb 2024) as the reference for what 'good' looks like.</t>
  </si>
  <si>
    <t>How to read the 'Gap Assessment' sheet</t>
  </si>
  <si>
    <t>- Reference Implementation Approach: a condensed, paraphrased summary of NIST's own implementation guidance for that subcategory.</t>
  </si>
  <si>
    <t>- Current State at MeridianPay: what the fictional company actually does today (the baseline scenario).</t>
  </si>
  <si>
    <t>- Maturity Score: 0-4 scale (see below), scored primarily at the Category level for a rapid maturity assessment.</t>
  </si>
  <si>
    <t>- Priority / Recommendation: the remediation action proposed to close the gap.</t>
  </si>
  <si>
    <t>Maturity Scale</t>
  </si>
  <si>
    <t>0 - Not Performed: the practice does not exist in any form.</t>
  </si>
  <si>
    <t>1 - Ad Hoc / Reactive: performed informally, inconsistently, and without documentation.</t>
  </si>
  <si>
    <t>2 - Defined but Inconsistent: a practice or partial documentation exists but is not consistently applied or enforced.</t>
  </si>
  <si>
    <t>3 - Managed &amp; Measured: documented, consistently applied, and tracked with metrics.</t>
  </si>
  <si>
    <t>4 - Optimized: continuously improved based on metrics and lessons learned.</t>
  </si>
  <si>
    <t>Source</t>
  </si>
  <si>
    <t>NIST CSF 2.0 Implementation Examples (Feb 26, 2024) — National Institute of Standards and Technology, U.S. Department of Commerce. This is a U.S. government publication and is not subject to copyright.</t>
  </si>
  <si>
    <t>Function</t>
  </si>
  <si>
    <t>Category ID</t>
  </si>
  <si>
    <t>Category Name</t>
  </si>
  <si>
    <t>Subcategory ID</t>
  </si>
  <si>
    <t>Subcategory Outcome</t>
  </si>
  <si>
    <t>Reference Implementation Approach (NIST CSF 2.0)</t>
  </si>
  <si>
    <t>Current State at MeridianPay</t>
  </si>
  <si>
    <t>Maturity Score</t>
  </si>
  <si>
    <t>Priority</t>
  </si>
  <si>
    <t>Recommendation / Remediation Action</t>
  </si>
  <si>
    <t>GOVERN (GV)</t>
  </si>
  <si>
    <t>GV.OC</t>
  </si>
  <si>
    <t>Organizational Context</t>
  </si>
  <si>
    <t>GV.OC-01</t>
  </si>
  <si>
    <t>The organizational mission is understood and informs cybersecurity risk management</t>
  </si>
  <si>
    <t>Communicate organizational mission to guide identification of risks that could impede it.</t>
  </si>
  <si>
    <t>Mission and stakeholder expectations are understood informally by the CISO and leadership, but not documented. No formal mapping of legal, regulatory, or contractual cybersecurity requirements exists.</t>
  </si>
  <si>
    <t>High</t>
  </si>
  <si>
    <t>Document the mission-to-risk linkage, a stakeholder register, and a regulatory requirements tracker covering CBUAE, DIFC Data Protection Law, and the US banking partner's due-diligence expectations.</t>
  </si>
  <si>
    <t>GV.OC-02</t>
  </si>
  <si>
    <t>Internal and external stakeholders are understood, and their cybersecurity expectations are considered</t>
  </si>
  <si>
    <t>Identify internal and external stakeholders and their cybersecurity expectations.</t>
  </si>
  <si>
    <t>GV.OC-03</t>
  </si>
  <si>
    <t>Legal, regulatory, and contractual cybersecurity requirements are understood and managed</t>
  </si>
  <si>
    <t>Track legal, regulatory, and contractual cybersecurity requirements and align strategy to them.</t>
  </si>
  <si>
    <t>GV.OC-04</t>
  </si>
  <si>
    <t>Critical objectives, capabilities, and services stakeholders depend on are understood and communicated</t>
  </si>
  <si>
    <t>Define criticality of capabilities/services and communicate resilience objectives (e.g., RTOs).</t>
  </si>
  <si>
    <t>GV.OC-05</t>
  </si>
  <si>
    <t>Outcomes, capabilities, and services the organization depends on are understood and communicated</t>
  </si>
  <si>
    <t>Inventory external dependencies (e.g., cloud providers) and identify related points of failure.</t>
  </si>
  <si>
    <t>GV.RM</t>
  </si>
  <si>
    <t>Risk Management Strategy</t>
  </si>
  <si>
    <t>GV.RM-01</t>
  </si>
  <si>
    <t>Risk management objectives are established and agreed to by organizational stakeholders</t>
  </si>
  <si>
    <t>Establish and periodically update measurable cybersecurity risk objectives with leadership agreement.</t>
  </si>
  <si>
    <t>No formal risk management strategy, risk appetite statement, or standardized risk register exists. Risk decisions are made ad hoc by the CISO and Head of IT without documented criteria.</t>
  </si>
  <si>
    <t>Establish a risk management strategy with defined risk appetite/tolerance statements and implement a risk register template capturing likelihood, impact, treatment, and ownership.</t>
  </si>
  <si>
    <t>GV.RM-02</t>
  </si>
  <si>
    <t>Risk appetite and risk tolerance statements are established, communicated, and maintained</t>
  </si>
  <si>
    <t>Define and communicate risk appetite and translate it into measurable risk tolerance statements.</t>
  </si>
  <si>
    <t>GV.RM-03</t>
  </si>
  <si>
    <t>Cybersecurity risk management activities and outcomes are included in enterprise risk management processes</t>
  </si>
  <si>
    <t>Integrate cybersecurity risk into enterprise risk management alongside financial/operational/compliance risk.</t>
  </si>
  <si>
    <t>GV.RM-04</t>
  </si>
  <si>
    <t>Strategic direction describing appropriate risk response options is established and communicated</t>
  </si>
  <si>
    <t>Define risk response criteria (accept/avoid/transfer), including cyber insurance decisions.</t>
  </si>
  <si>
    <t>GV.RM-05</t>
  </si>
  <si>
    <t>Lines of communication across the organization are established for cybersecurity risks, including from suppliers</t>
  </si>
  <si>
    <t>Establish cross-department communication channels for cybersecurity risk, including from suppliers.</t>
  </si>
  <si>
    <t>GV.RM-06</t>
  </si>
  <si>
    <t>A standardized method for calculating, documenting, categorizing, and prioritizing cybersecurity risks is established</t>
  </si>
  <si>
    <t>Adopt a standardized method (e.g., a risk register) for calculating and prioritizing risk.</t>
  </si>
  <si>
    <t>GV.RM-07</t>
  </si>
  <si>
    <t>Strategic opportunities (positive risks) are characterized and included in risk discussions</t>
  </si>
  <si>
    <t>Identify and document positive/strategic opportunities alongside negative risks.</t>
  </si>
  <si>
    <t>GV.SC</t>
  </si>
  <si>
    <t>Cybersecurity Supply Chain Risk Management</t>
  </si>
  <si>
    <t>GV.SC-01</t>
  </si>
  <si>
    <t>A cybersecurity supply chain risk management program, strategy, and processes are established</t>
  </si>
  <si>
    <t>Establish a supply chain risk management strategy, program, and cross-functional coordination mechanism.</t>
  </si>
  <si>
    <t>MeridianPay has no formal supplier risk management program. Vendors (CloudCore/AWS, ScreenSafe KYC/AML, PaySettle Gateway, HelpDesk Solutions MSP, CloudHR, BrightWave Support, AdReach) are onboarded based on business need only, without cybersecurity due diligence, contractual security requirements, or ongoing monitoring.</t>
  </si>
  <si>
    <t>Build a vendor risk management program: tier suppliers by criticality, add security requirements to contracts, and implement periodic reassessment and termination procedures (see companion Vendor Risk Assessment project).</t>
  </si>
  <si>
    <t>GV.SC-02</t>
  </si>
  <si>
    <t>Cybersecurity roles/responsibilities for suppliers, customers, and partners are established and coordinated</t>
  </si>
  <si>
    <t>Define and communicate cybersecurity roles/responsibilities for suppliers, customers, and partners.</t>
  </si>
  <si>
    <t>GV.SC-03</t>
  </si>
  <si>
    <t>Cybersecurity supply chain risk management is integrated into enterprise risk and improvement processes</t>
  </si>
  <si>
    <t>Integrate supply chain risk management into enterprise risk and improvement processes.</t>
  </si>
  <si>
    <t>GV.SC-04</t>
  </si>
  <si>
    <t>Suppliers are known and prioritized by criticality</t>
  </si>
  <si>
    <t>Maintain a supplier inventory prioritized by criticality (data sensitivity, access, importance).</t>
  </si>
  <si>
    <t>GV.SC-05</t>
  </si>
  <si>
    <t>Requirements to address cybersecurity risks in supply chains are integrated into contracts</t>
  </si>
  <si>
    <t>Embed cybersecurity requirements into supplier contracts (SLAs, disclosure, attestation clauses).</t>
  </si>
  <si>
    <t>GV.SC-06</t>
  </si>
  <si>
    <t>Planning and due diligence are performed to reduce risk before entering supplier relationships</t>
  </si>
  <si>
    <t>Perform due diligence on prospective suppliers before entering relationships.</t>
  </si>
  <si>
    <t>GV.SC-07</t>
  </si>
  <si>
    <t>Risks posed by suppliers and third parties are assessed and monitored over the relationship</t>
  </si>
  <si>
    <t>Monitor and reassess supplier risk throughout the relationship lifecycle.</t>
  </si>
  <si>
    <t>GV.SC-08</t>
  </si>
  <si>
    <t>Relevant suppliers and third parties are included in incident planning, response, and recovery</t>
  </si>
  <si>
    <t>Include critical suppliers in incident response planning and exercises.</t>
  </si>
  <si>
    <t>GV.SC-09</t>
  </si>
  <si>
    <t>Supply chain security practices are integrated and monitored through the technology lifecycle</t>
  </si>
  <si>
    <t>Require provenance records and verify authenticity of acquired technology through its lifecycle.</t>
  </si>
  <si>
    <t>GV.SC-10</t>
  </si>
  <si>
    <t>Supply chain risk management plans include provisions for activities after relationship conclusion</t>
  </si>
  <si>
    <t>Plan for secure termination of supplier relationships, including access deactivation and data return.</t>
  </si>
  <si>
    <t>GV.RR</t>
  </si>
  <si>
    <t>Roles, Responsibilities, and Authorities</t>
  </si>
  <si>
    <t>GV.RR-01</t>
  </si>
  <si>
    <t>Organizational leadership is accountable for cybersecurity risk and fosters a risk-aware culture</t>
  </si>
  <si>
    <t>Leadership is accountable for cybersecurity risk and fosters a risk-aware culture.</t>
  </si>
  <si>
    <t>Cybersecurity responsibility rests informally with the newly hired CISO; no documented RACI or job-description language covers cybersecurity duties across IT, Engineering, Compliance/MLRO, and HR.</t>
  </si>
  <si>
    <t>Medium</t>
  </si>
  <si>
    <t>Document a cybersecurity roles and responsibilities matrix (RACI) and integrate cybersecurity checkpoints into HR onboarding/offboarding.</t>
  </si>
  <si>
    <t>GV.RR-02</t>
  </si>
  <si>
    <t>Roles, responsibilities, and authorities related to cybersecurity risk management are established and enforced</t>
  </si>
  <si>
    <t>Document and enforce cybersecurity roles, responsibilities, and authorities.</t>
  </si>
  <si>
    <t>GV.RR-03</t>
  </si>
  <si>
    <t>Adequate resources are allocated commensurate with the cybersecurity risk strategy</t>
  </si>
  <si>
    <t>Allocate adequate people, process, and technology resources to the security program.</t>
  </si>
  <si>
    <t>GV.RR-04</t>
  </si>
  <si>
    <t>Cybersecurity is included in human resources practices</t>
  </si>
  <si>
    <t>Integrate cybersecurity into HR processes (screening, onboarding, offboarding, background checks).</t>
  </si>
  <si>
    <t>GV.PO</t>
  </si>
  <si>
    <t>Policy</t>
  </si>
  <si>
    <t>GV.PO-01</t>
  </si>
  <si>
    <t>Policy for managing cybersecurity risks is established, communicated, and enforced</t>
  </si>
  <si>
    <t>Establish, approve, and communicate a cybersecurity risk management policy.</t>
  </si>
  <si>
    <t>Only two policies exist today: password requirements and acceptable use. No enterprise cybersecurity risk management policy and no periodic review cycle.</t>
  </si>
  <si>
    <t>Draft and obtain leadership approval for a cybersecurity risk management policy, and establish an annual review cycle.</t>
  </si>
  <si>
    <t>GV.PO-02</t>
  </si>
  <si>
    <t>Policy is reviewed, updated, communicated, and enforced to reflect changing requirements</t>
  </si>
  <si>
    <t>Review and update policy to reflect changes in risk, technology, and regulation.</t>
  </si>
  <si>
    <t>GV.OV</t>
  </si>
  <si>
    <t>Oversight</t>
  </si>
  <si>
    <t>GV.OV-01</t>
  </si>
  <si>
    <t>Cybersecurity risk management strategy outcomes are reviewed to inform and adjust strategy</t>
  </si>
  <si>
    <t>Review risk management strategy outcomes to inform leadership decisions.</t>
  </si>
  <si>
    <t>No mechanism exists for reviewing cybersecurity risk management performance or reporting KPIs/KRIs to leadership.</t>
  </si>
  <si>
    <t>Define a quarterly cybersecurity reporting package for leadership, built on KPIs/KRIs tied to the risk register.</t>
  </si>
  <si>
    <t>GV.OV-02</t>
  </si>
  <si>
    <t>The cybersecurity risk management strategy is reviewed and adjusted for coverage of requirements/risks</t>
  </si>
  <si>
    <t>Review and adjust strategy against audit findings, incidents, and requirements coverage.</t>
  </si>
  <si>
    <t>GV.OV-03</t>
  </si>
  <si>
    <t>Organizational cybersecurity risk management performance is measured and reviewed</t>
  </si>
  <si>
    <t>Measure and report cybersecurity KPIs/KRIs to senior leadership.</t>
  </si>
  <si>
    <t>IDENTIFY (ID)</t>
  </si>
  <si>
    <t>ID.AM</t>
  </si>
  <si>
    <t>Asset Management</t>
  </si>
  <si>
    <t>ID.AM-01</t>
  </si>
  <si>
    <t>Inventories of hardware managed by the organization are maintained</t>
  </si>
  <si>
    <t>Maintain an inventory of all managed hardware, including mobile devices.</t>
  </si>
  <si>
    <t>AWS-hosted production assets are tracked informally by the Head of IT Infrastructure; the mobile app, CRM, HR/payroll SaaS, and KYC vendor are known but not centrally inventoried. No formal data classification scheme exists.</t>
  </si>
  <si>
    <t>Stand up a centralized asset inventory (CMDB or lightweight equivalent) covering cloud resources, SaaS services, and data types, with a basic classification scheme (Public/Internal/Confidential/Restricted).</t>
  </si>
  <si>
    <t>ID.AM-02</t>
  </si>
  <si>
    <t>Inventories of software, services, and systems managed by the organization are maintained</t>
  </si>
  <si>
    <t>Maintain an inventory of software, services, and systems, including cloud/SaaS.</t>
  </si>
  <si>
    <t>ID.AM-03</t>
  </si>
  <si>
    <t>Representations of authorized network communication and data flows are maintained</t>
  </si>
  <si>
    <t>Maintain baselines of authorized internal/external network communication flows.</t>
  </si>
  <si>
    <t>ID.AM-04</t>
  </si>
  <si>
    <t>Inventories of services provided by suppliers are maintained</t>
  </si>
  <si>
    <t>Maintain an inventory of externally provided services (IaaS/PaaS/SaaS/APIs).</t>
  </si>
  <si>
    <t>ID.AM-05</t>
  </si>
  <si>
    <t>Assets are prioritized based on classification, criticality, resources, and impact</t>
  </si>
  <si>
    <t>Prioritize assets based on classification, criticality, and mission impact.</t>
  </si>
  <si>
    <t>ID.AM-07</t>
  </si>
  <si>
    <t>Inventories of data and corresponding metadata for designated data types are maintained</t>
  </si>
  <si>
    <t>Maintain an inventory of designated data types (e.g., PII) with classification tags.</t>
  </si>
  <si>
    <t>ID.AM-08</t>
  </si>
  <si>
    <t>Systems, hardware, software, and data are managed throughout their life cycles</t>
  </si>
  <si>
    <t>Manage systems, hardware, software, and data through their full lifecycle, including secure disposal.</t>
  </si>
  <si>
    <t>ID.RA</t>
  </si>
  <si>
    <t>Risk Assessment</t>
  </si>
  <si>
    <t>ID.RA-01</t>
  </si>
  <si>
    <t>Vulnerabilities in assets are identified, validated, and recorded</t>
  </si>
  <si>
    <t>Identify, validate, and record vulnerabilities in assets.</t>
  </si>
  <si>
    <t>No formal vulnerability management program exists; patching is reactive. No documented threat intelligence process. No risk register linking vulnerabilities, threats, and business impact.</t>
  </si>
  <si>
    <t>Implement a vulnerability scanning cadence for the AWS environment, subscribe to a threat intelligence source relevant to fintech, and build a risk register capturing likelihood/impact per identified risk.</t>
  </si>
  <si>
    <t>ID.RA-02</t>
  </si>
  <si>
    <t>Cyber threat intelligence is received from information sharing forums and sources</t>
  </si>
  <si>
    <t>Ingest cyber threat intelligence from information-sharing sources.</t>
  </si>
  <si>
    <t>ID.RA-03</t>
  </si>
  <si>
    <t>Internal and external threats to the organization are identified and recorded</t>
  </si>
  <si>
    <t>Identify and record internal and external threats.</t>
  </si>
  <si>
    <t>ID.RA-04</t>
  </si>
  <si>
    <t>Potential impacts and likelihoods of threats exploiting vulnerabilities are identified and recorded</t>
  </si>
  <si>
    <t>Estimate potential impact and likelihood of threats exploiting vulnerabilities.</t>
  </si>
  <si>
    <t>ID.RA-05</t>
  </si>
  <si>
    <t>Threats, vulnerabilities, likelihoods, and impacts are used to inform risk response prioritization</t>
  </si>
  <si>
    <t>Use threat/vulnerability/impact data to prioritize risk responses.</t>
  </si>
  <si>
    <t>ID.RA-06</t>
  </si>
  <si>
    <t>Risk responses are chosen, prioritized, planned, tracked, and communicated</t>
  </si>
  <si>
    <t>Select, track, and communicate chosen risk responses.</t>
  </si>
  <si>
    <t>ID.RA-07</t>
  </si>
  <si>
    <t>Changes and exceptions are managed, assessed for risk impact, recorded, and tracked</t>
  </si>
  <si>
    <t>Manage and track changes/exceptions and their risk impact.</t>
  </si>
  <si>
    <t>ID.RA-08</t>
  </si>
  <si>
    <t>Processes for receiving, analyzing, and responding to vulnerability disclosures are established</t>
  </si>
  <si>
    <t>Establish a process for receiving and responding to vulnerability disclosures.</t>
  </si>
  <si>
    <t>ID.RA-09</t>
  </si>
  <si>
    <t>The authenticity and integrity of hardware and software are assessed prior to acquisition and use</t>
  </si>
  <si>
    <t>Assess authenticity/integrity of hardware and software before acquisition.</t>
  </si>
  <si>
    <t>ID.RA-10</t>
  </si>
  <si>
    <t>Critical suppliers are assessed prior to acquisition</t>
  </si>
  <si>
    <t>Assess critical suppliers before acquisition/onboarding.</t>
  </si>
  <si>
    <t>ID.IM</t>
  </si>
  <si>
    <t>Improvement</t>
  </si>
  <si>
    <t>ID.IM-01</t>
  </si>
  <si>
    <t>Improvements are identified from evaluations</t>
  </si>
  <si>
    <t>Identify improvements from self-assessments and independent audits.</t>
  </si>
  <si>
    <t>No self-assessments, penetration tests, or lessons-learned processes currently occur.</t>
  </si>
  <si>
    <t>Schedule an annual third-party penetration test and a tabletop exercise, and formalize a lessons-learned process that feeds back into policy updates.</t>
  </si>
  <si>
    <t>ID.IM-02</t>
  </si>
  <si>
    <t>Improvements are identified from security tests and exercises, including with suppliers</t>
  </si>
  <si>
    <t>Identify improvements from tests/exercises, including with suppliers.</t>
  </si>
  <si>
    <t>ID.IM-03</t>
  </si>
  <si>
    <t>Improvements are identified from execution of operational processes, procedures, and activities</t>
  </si>
  <si>
    <t>Identify improvements from execution of operational processes (lessons learned).</t>
  </si>
  <si>
    <t>ID.IM-04</t>
  </si>
  <si>
    <t>Incident response plans and other cybersecurity plans are established, communicated, and maintained</t>
  </si>
  <si>
    <t>Establish, communicate, and maintain incident response and other operational continuity plans.</t>
  </si>
  <si>
    <t>PROTECT (PR)</t>
  </si>
  <si>
    <t>PR.AA</t>
  </si>
  <si>
    <t>Identity Management, Authentication, and Access Control</t>
  </si>
  <si>
    <t>PR.AA-01</t>
  </si>
  <si>
    <t>Identities and credentials for authorized users, services, and hardware are managed</t>
  </si>
  <si>
    <t>Manage identities and credentials for authorized users, services, and hardware.</t>
  </si>
  <si>
    <t>MFA is enforced on production AWS accounts, but coverage is inconsistent across corporate SaaS tools (CRM, HR/payroll, KYC vendor portal). Access reviews are informal and infrequent; least privilege is not systematically enforced.</t>
  </si>
  <si>
    <t>Enforce MFA organization-wide (including all SaaS tools), and implement quarterly access reviews with documented least-privilege criteria.</t>
  </si>
  <si>
    <t>PR.AA-02</t>
  </si>
  <si>
    <t>Identities are proofed and bound to credentials based on the context of interactions</t>
  </si>
  <si>
    <t>Proof and bind identities to credentials at enrollment.</t>
  </si>
  <si>
    <t>PR.AA-03</t>
  </si>
  <si>
    <t>Users, services, and hardware are authenticated</t>
  </si>
  <si>
    <t>Authenticate users, services, and hardware, including MFA and password-policy enforcement.</t>
  </si>
  <si>
    <t>PR.AA-04</t>
  </si>
  <si>
    <t>Identity assertions are protected, conveyed, and verified</t>
  </si>
  <si>
    <t>Protect and verify identity assertions (e.g., SSO/federation).</t>
  </si>
  <si>
    <t>PR.AA-05</t>
  </si>
  <si>
    <t>Access permissions and authorizations are managed, enforced, and reviewed with least privilege/SoD</t>
  </si>
  <si>
    <t>Define, enforce, and periodically review access permissions using least privilege/separation of duties.</t>
  </si>
  <si>
    <t>PR.AA-06</t>
  </si>
  <si>
    <t>Physical access to assets is managed, monitored, and enforced commensurate with risk</t>
  </si>
  <si>
    <t>Manage and monitor physical access to assets commensurate with risk.</t>
  </si>
  <si>
    <t>PR.AT</t>
  </si>
  <si>
    <t>Awareness and Training</t>
  </si>
  <si>
    <t>PR.AT-01</t>
  </si>
  <si>
    <t>Personnel are provided with awareness and training to perform general tasks with security risks in mind</t>
  </si>
  <si>
    <t>Provide baseline cybersecurity awareness training to all personnel.</t>
  </si>
  <si>
    <t>No formal security awareness training program exists for employees or the outsourced BrightWave support team.</t>
  </si>
  <si>
    <t>Launch a mandatory annual security awareness training program (with phishing simulations) for all staff and contracted support personnel, plus role-based training for engineering and compliance.</t>
  </si>
  <si>
    <t>PR.AT-02</t>
  </si>
  <si>
    <t>Individuals in specialized roles are provided with awareness and training for relevant tasks</t>
  </si>
  <si>
    <t>Provide role-based training for personnel in specialized roles.</t>
  </si>
  <si>
    <t>PR.DS</t>
  </si>
  <si>
    <t>Data Security</t>
  </si>
  <si>
    <t>PR.DS-01</t>
  </si>
  <si>
    <t>The confidentiality, integrity, and availability of data-at-rest are protected</t>
  </si>
  <si>
    <t>Protect confidentiality/integrity/availability of data at rest (e.g., encryption).</t>
  </si>
  <si>
    <t>Data at rest and in transit is generally encrypted within the AWS environment (native AWS encryption), but there is no documented data protection standard, and backup restoration is not tested.</t>
  </si>
  <si>
    <t>Document a data protection standard, and implement and test a formal backup/recovery plan for the payments platform at least annually.</t>
  </si>
  <si>
    <t>PR.DS-02</t>
  </si>
  <si>
    <t>The confidentiality, integrity, and availability of data-in-transit are protected</t>
  </si>
  <si>
    <t>Protect confidentiality/integrity/availability of data in transit.</t>
  </si>
  <si>
    <t>PR.DS-10</t>
  </si>
  <si>
    <t>The confidentiality, integrity, and availability of data-in-use are protected</t>
  </si>
  <si>
    <t>Protect confidentiality/integrity/availability of data in use.</t>
  </si>
  <si>
    <t>PR.DS-11</t>
  </si>
  <si>
    <t>Backups of data are created, protected, maintained, and tested</t>
  </si>
  <si>
    <t>Create, protect, maintain, and test backups of data.</t>
  </si>
  <si>
    <t>PR.PS</t>
  </si>
  <si>
    <t>Platform Security</t>
  </si>
  <si>
    <t>PR.PS-01</t>
  </si>
  <si>
    <t>Configuration management practices are established and applied</t>
  </si>
  <si>
    <t>Establish and apply configuration management/hardening baselines.</t>
  </si>
  <si>
    <t>Cloud infrastructure uses AWS-managed baseline configurations, and logs (CloudTrail, application logs) are generated; patching for the payments platform is handled by Engineering, but there is no formal configuration or patch management policy across corporate IT.</t>
  </si>
  <si>
    <t>Formalize configuration and patch management policies with defined SLAs, and route logs into a centralized log management or SIEM solution.</t>
  </si>
  <si>
    <t>PR.PS-02</t>
  </si>
  <si>
    <t>Software is maintained, replaced, and removed commensurate with risk</t>
  </si>
  <si>
    <t>Maintain, patch, and replace software commensurate with risk.</t>
  </si>
  <si>
    <t>PR.PS-03</t>
  </si>
  <si>
    <t>Hardware is maintained, replaced, and removed commensurate with risk</t>
  </si>
  <si>
    <t>Maintain, replace, and securely dispose of hardware commensurate with risk.</t>
  </si>
  <si>
    <t>PR.PS-04</t>
  </si>
  <si>
    <t>Log records are generated and made available for continuous monitoring</t>
  </si>
  <si>
    <t>Generate log records and make them available for monitoring.</t>
  </si>
  <si>
    <t>PR.PS-05</t>
  </si>
  <si>
    <t>Installation and execution of unauthorized software are prevented</t>
  </si>
  <si>
    <t>Prevent installation/execution of unauthorized software.</t>
  </si>
  <si>
    <t>PR.PS-06</t>
  </si>
  <si>
    <t>Secure software development practices are integrated and monitored throughout the SDLC</t>
  </si>
  <si>
    <t>Integrate secure software development practices through the SDLC.</t>
  </si>
  <si>
    <t>PR.IR</t>
  </si>
  <si>
    <t>Technology Infrastructure Resilience</t>
  </si>
  <si>
    <t>PR.IR-01</t>
  </si>
  <si>
    <t>Networks and environments are protected from unauthorized logical access and usage</t>
  </si>
  <si>
    <t>Protect networks/environments from unauthorized logical access (segmentation, zero trust).</t>
  </si>
  <si>
    <t>AWS multi-region hosting (UAE + Ireland) provides some resilience, but there is no documented network segmentation strategy or defined recovery time objectives.</t>
  </si>
  <si>
    <t>Document network segmentation architecture and define RTOs/RPOs for the payments platform as part of a business continuity plan.</t>
  </si>
  <si>
    <t>PR.IR-02</t>
  </si>
  <si>
    <t>The organization's technology assets are protected from environmental threats</t>
  </si>
  <si>
    <t>Protect technology assets from environmental threats.</t>
  </si>
  <si>
    <t>PR.IR-03</t>
  </si>
  <si>
    <t>Mechanisms are implemented to achieve resilience requirements in normal and adverse situations</t>
  </si>
  <si>
    <t>Implement resilience mechanisms (redundancy, load balancing) for normal/adverse conditions.</t>
  </si>
  <si>
    <t>PR.IR-04</t>
  </si>
  <si>
    <t>Adequate resource capacity to ensure availability is maintained</t>
  </si>
  <si>
    <t>Maintain adequate resource capacity to ensure availability.</t>
  </si>
  <si>
    <t>DETECT (DE)</t>
  </si>
  <si>
    <t>DE.CM</t>
  </si>
  <si>
    <t>Continuous Monitoring</t>
  </si>
  <si>
    <t>DE.CM-01</t>
  </si>
  <si>
    <t>Networks and network services are monitored to find potentially adverse events</t>
  </si>
  <si>
    <t>Monitor networks and network services for adverse events.</t>
  </si>
  <si>
    <t>AWS CloudTrail and application logs are generated but not centrally monitored; no SIEM or continuous monitoring capability exists. External service provider (MSP, KYC vendor) activity is not monitored.</t>
  </si>
  <si>
    <t>Deploy a centralized logging/SIEM solution (even a lightweight cloud-native option) with alerting for anomalous activity, including MSP and vendor access.</t>
  </si>
  <si>
    <t>DE.CM-02</t>
  </si>
  <si>
    <t>The physical environment is monitored to find potentially adverse events</t>
  </si>
  <si>
    <t>Monitor the physical environment for adverse events.</t>
  </si>
  <si>
    <t>DE.CM-03</t>
  </si>
  <si>
    <t>Personnel activity and technology usage are monitored to find potentially adverse events</t>
  </si>
  <si>
    <t>Monitor personnel activity and technology usage for adverse events.</t>
  </si>
  <si>
    <t>DE.CM-06</t>
  </si>
  <si>
    <t>External service provider activities and services are monitored to find potentially adverse events</t>
  </si>
  <si>
    <t>Monitor external service provider activity for adverse events.</t>
  </si>
  <si>
    <t>DE.CM-09</t>
  </si>
  <si>
    <t>Computing hardware/software, runtime environments, and data are monitored for adverse events</t>
  </si>
  <si>
    <t>Monitor computing hardware/software/runtime environments for adverse events.</t>
  </si>
  <si>
    <t>DE.AE</t>
  </si>
  <si>
    <t>Adverse Event Analysis</t>
  </si>
  <si>
    <t>DE.AE-02</t>
  </si>
  <si>
    <t>Potentially adverse events are analyzed to better understand associated activities</t>
  </si>
  <si>
    <t>Analyze potentially adverse events to understand associated activity.</t>
  </si>
  <si>
    <t>No formal event correlation, impact analysis, or incident-declaration criteria exist. Any adverse event review is done ad hoc by the Head of IT.</t>
  </si>
  <si>
    <t>Define incident declaration criteria and a basic adverse-event triage and escalation workflow, tied to the incident response plan being developed.</t>
  </si>
  <si>
    <t>DE.AE-03</t>
  </si>
  <si>
    <t>Information is correlated from multiple sources</t>
  </si>
  <si>
    <t>Correlate information from multiple log sources.</t>
  </si>
  <si>
    <t>DE.AE-04</t>
  </si>
  <si>
    <t>The estimated impact and scope of adverse events are determined</t>
  </si>
  <si>
    <t>Determine the estimated impact and scope of adverse events.</t>
  </si>
  <si>
    <t>DE.AE-06</t>
  </si>
  <si>
    <t>Information on adverse events is provided to authorized staff and tools</t>
  </si>
  <si>
    <t>Provide adverse event information to authorized staff and tools.</t>
  </si>
  <si>
    <t>DE.AE-07</t>
  </si>
  <si>
    <t>Cyber threat intelligence and contextual information are integrated into the analysis</t>
  </si>
  <si>
    <t>Integrate threat intelligence and contextual information into analysis.</t>
  </si>
  <si>
    <t>DE.AE-08</t>
  </si>
  <si>
    <t>Incidents are declared when adverse events meet the defined incident criteria</t>
  </si>
  <si>
    <t>Declare incidents when adverse events meet defined criteria.</t>
  </si>
  <si>
    <t>RESPOND (RS)</t>
  </si>
  <si>
    <t>RS.MA</t>
  </si>
  <si>
    <t>Incident Management</t>
  </si>
  <si>
    <t>RS.MA-01</t>
  </si>
  <si>
    <t>The incident response plan is executed in coordination with relevant third parties</t>
  </si>
  <si>
    <t>Execute the incident response plan in coordination with relevant third parties.</t>
  </si>
  <si>
    <t>No documented incident response plan exists; response to security events has so far been informal and reactive, coordinated verbally between the CISO and Head of IT.</t>
  </si>
  <si>
    <t>Develop and formally approve an incident response plan with defined roles, triage criteria, categorization, and escalation paths.</t>
  </si>
  <si>
    <t>RS.MA-02</t>
  </si>
  <si>
    <t>Incident reports are triaged and validated</t>
  </si>
  <si>
    <t>Triage and validate incident reports.</t>
  </si>
  <si>
    <t>RS.MA-03</t>
  </si>
  <si>
    <t>Incidents are categorized and prioritized</t>
  </si>
  <si>
    <t>Categorize and prioritize incidents.</t>
  </si>
  <si>
    <t>RS.MA-04</t>
  </si>
  <si>
    <t>Incidents are escalated or elevated as needed</t>
  </si>
  <si>
    <t>Escalate or elevate incidents as needed.</t>
  </si>
  <si>
    <t>RS.MA-05</t>
  </si>
  <si>
    <t>The criteria for initiating incident recovery are applied</t>
  </si>
  <si>
    <t>Apply criteria for initiating incident recovery.</t>
  </si>
  <si>
    <t>RS.AN</t>
  </si>
  <si>
    <t>Incident Analysis</t>
  </si>
  <si>
    <t>RS.AN-03</t>
  </si>
  <si>
    <t>Analysis is performed to determine what occurred during an incident and its root cause</t>
  </si>
  <si>
    <t>Analyze incidents to determine what occurred and root cause.</t>
  </si>
  <si>
    <t>No root-cause analysis process or evidence-preservation procedures exist for security events.</t>
  </si>
  <si>
    <t>Adopt a lightweight incident analysis and evidence-handling procedure as part of the incident response plan.</t>
  </si>
  <si>
    <t>RS.AN-06</t>
  </si>
  <si>
    <t>Actions performed during an investigation are recorded, with integrity/provenance preserved</t>
  </si>
  <si>
    <t>Record and preserve the integrity of investigative actions taken.</t>
  </si>
  <si>
    <t>RS.AN-07</t>
  </si>
  <si>
    <t>Incident data and metadata are collected, with integrity/provenance preserved</t>
  </si>
  <si>
    <t>Collect and preserve incident data/metadata integrity and provenance.</t>
  </si>
  <si>
    <t>RS.AN-08</t>
  </si>
  <si>
    <t>An incident's magnitude is estimated and validated</t>
  </si>
  <si>
    <t>Estimate and validate the magnitude of an incident.</t>
  </si>
  <si>
    <t>RS.CO</t>
  </si>
  <si>
    <t>Incident Response Reporting and Communication</t>
  </si>
  <si>
    <t>RS.CO-02</t>
  </si>
  <si>
    <t>Internal and external stakeholders are notified of incidents</t>
  </si>
  <si>
    <t>Notify internal and external stakeholders of incidents (including breach notification).</t>
  </si>
  <si>
    <t>Breach notification obligations under DIFC Data Protection Law are understood by Compliance/MLRO, but no formal internal or external incident communication protocol exists.</t>
  </si>
  <si>
    <t>Document an incident communication plan covering regulatory notification (DIFC, CBUAE), the US banking partner, and affected customers.</t>
  </si>
  <si>
    <t>RS.CO-03</t>
  </si>
  <si>
    <t>Information is shared with designated internal and external stakeholders</t>
  </si>
  <si>
    <t>Share incident information with designated internal/external stakeholders.</t>
  </si>
  <si>
    <t>RS.MI</t>
  </si>
  <si>
    <t>Incident Mitigation</t>
  </si>
  <si>
    <t>RS.MI-01</t>
  </si>
  <si>
    <t>Incidents are contained</t>
  </si>
  <si>
    <t>Contain incidents (manually, automatically, or via third party).</t>
  </si>
  <si>
    <t>Containment/eradication actions, if needed, would currently be performed manually and reactively by the Head of IT, with no defined playbooks.</t>
  </si>
  <si>
    <t>Develop containment and eradication playbooks for common scenarios (e.g., compromised credentials, ransomware) as part of the incident response plan.</t>
  </si>
  <si>
    <t>RS.MI-02</t>
  </si>
  <si>
    <t>Incidents are eradicated</t>
  </si>
  <si>
    <t>Eradicate incidents (manually, automatically, or via third party).</t>
  </si>
  <si>
    <t>RECOVER (RC)</t>
  </si>
  <si>
    <t>RC.RP</t>
  </si>
  <si>
    <t>Incident Recovery Plan Execution</t>
  </si>
  <si>
    <t>RC.RP-01</t>
  </si>
  <si>
    <t>The recovery portion of the incident response plan is executed once initiated</t>
  </si>
  <si>
    <t>Execute the recovery portion of the incident response plan.</t>
  </si>
  <si>
    <t>No tested disaster recovery / incident recovery plan exists for the payments platform. Recovery would currently rely on ad hoc AWS restoration by engineering staff.</t>
  </si>
  <si>
    <t>Develop and test a disaster recovery / incident recovery plan for the payments platform, including integrity verification of restored assets and after-action reporting.</t>
  </si>
  <si>
    <t>RC.RP-02</t>
  </si>
  <si>
    <t>Recovery actions are selected, scoped, prioritized, and performed</t>
  </si>
  <si>
    <t>Select, scope, prioritize, and perform recovery actions.</t>
  </si>
  <si>
    <t>RC.RP-03</t>
  </si>
  <si>
    <t>The integrity of backups and other restoration assets is verified before use</t>
  </si>
  <si>
    <t>Verify integrity of backups/restoration assets before use.</t>
  </si>
  <si>
    <t>RC.RP-04</t>
  </si>
  <si>
    <t>Critical mission functions are considered to establish post-incident operational norms</t>
  </si>
  <si>
    <t>Establish post-incident operational norms based on mission-critical functions.</t>
  </si>
  <si>
    <t>RC.RP-05</t>
  </si>
  <si>
    <t>The integrity of restored assets is verified and normal operating status is confirmed</t>
  </si>
  <si>
    <t>Verify integrity of restored assets and confirm normal operating status.</t>
  </si>
  <si>
    <t>RC.RP-06</t>
  </si>
  <si>
    <t>Criteria for determining the end of incident recovery are applied and documentation is completed</t>
  </si>
  <si>
    <t>Apply criteria for ending recovery and complete after-action documentation.</t>
  </si>
  <si>
    <t>RC.CO</t>
  </si>
  <si>
    <t>Incident Recovery Communication</t>
  </si>
  <si>
    <t>RC.CO-03</t>
  </si>
  <si>
    <t>Recovery activities and progress are communicated to designated stakeholders</t>
  </si>
  <si>
    <t>Communicate recovery activities/progress to designated stakeholders.</t>
  </si>
  <si>
    <t>No defined process exists for communicating recovery status to leadership, the US banking partner, or customers during an incident.</t>
  </si>
  <si>
    <t>Extend the incident communication plan to cover recovery status updates and any required public/customer messaging.</t>
  </si>
  <si>
    <t>RC.CO-04</t>
  </si>
  <si>
    <t>Public updates on incident recovery are shared using approved methods and messaging</t>
  </si>
  <si>
    <t>Share public updates on incident recovery using approved messaging.</t>
  </si>
  <si>
    <t>MeridianPay — Maturity Summary by Function</t>
  </si>
  <si>
    <t>Average Maturity Score (0-4)</t>
  </si>
  <si>
    <t># High Priority Gaps</t>
  </si>
  <si>
    <t># Subcategories</t>
  </si>
  <si>
    <t>Overall</t>
  </si>
  <si>
    <t>Maturity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</si>
</sst>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1F4E78"/>
      <name val="Arial"/>
      <charset val="1"/>
    </font>
    <font>
      <sz val="11"/>
      <name val="Arial"/>
      <charset val="1"/>
    </font>
    <font>
      <b/>
      <sz val="12"/>
      <color rgb="FF1F4E78"/>
      <name val="Arial"/>
      <charset val="1"/>
    </font>
    <font>
      <b/>
      <sz val="11"/>
      <color rgb="FFFFFFFF"/>
      <name val="Arial"/>
      <charset val="1"/>
    </font>
    <font>
      <sz val="10"/>
      <name val="Arial"/>
      <charset val="1"/>
    </font>
    <font>
      <b/>
      <sz val="14"/>
      <color rgb="FF1F4E78"/>
      <name val="Arial"/>
      <charset val="1"/>
    </font>
    <font>
      <b/>
      <sz val="11"/>
      <name val="Arial"/>
      <charset val="1"/>
    </font>
  </fonts>
  <fills count="7">
    <fill>
      <patternFill patternType="none"/>
    </fill>
    <fill>
      <patternFill patternType="gray125"/>
    </fill>
    <fill>
      <patternFill patternType="solid">
        <fgColor rgb="FF1F4E78"/>
        <bgColor rgb="FF003366"/>
      </patternFill>
    </fill>
    <fill>
      <patternFill patternType="solid">
        <fgColor rgb="FFF8CBAD"/>
        <bgColor rgb="FFFFE699"/>
      </patternFill>
    </fill>
    <fill>
      <patternFill patternType="solid">
        <fgColor rgb="FFFFE699"/>
        <bgColor rgb="FFF8CBAD"/>
      </patternFill>
    </fill>
    <fill>
      <patternFill patternType="solid">
        <fgColor rgb="FFC00000"/>
        <bgColor rgb="FF800000"/>
      </patternFill>
    </fill>
    <fill>
      <patternFill patternType="solid">
        <fgColor rgb="FFC6E0B4"/>
        <bgColor rgb="FFD9D9D9"/>
      </patternFill>
    </fill>
  </fills>
  <borders count="1">
    <border>
      <left/>
      <right/>
      <top/>
      <bottom/>
      <diagonal/>
    </border>
  </borders>
  <cellStyleXfs count="1">
    <xf numFmtId="0" fontId="0" fillId="0" borderId="0"/>
  </cellStyleXfs>
  <cellXfs count="16">
    <xf numFmtId="0" fontId="0" fillId="0" borderId="0" xfId="0"/>
    <xf numFmtId="0" fontId="6" fillId="0" borderId="0" xfId="0" applyFont="1"/>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5" fillId="0" borderId="0" xfId="0" applyFont="1" applyAlignment="1">
      <alignment vertical="top" wrapText="1"/>
    </xf>
    <xf numFmtId="0" fontId="5" fillId="3" borderId="0" xfId="0" applyFont="1" applyFill="1" applyAlignment="1">
      <alignment horizontal="center" vertical="top"/>
    </xf>
    <xf numFmtId="0" fontId="5" fillId="4" borderId="0" xfId="0" applyFont="1" applyFill="1" applyAlignment="1">
      <alignment horizontal="center" vertical="top"/>
    </xf>
    <xf numFmtId="0" fontId="5" fillId="5" borderId="0" xfId="0" applyFont="1" applyFill="1" applyAlignment="1">
      <alignment horizontal="center" vertical="top"/>
    </xf>
    <xf numFmtId="0" fontId="5" fillId="6" borderId="0" xfId="0" applyFont="1" applyFill="1" applyAlignment="1">
      <alignment horizontal="center" vertical="top"/>
    </xf>
    <xf numFmtId="0" fontId="7" fillId="0" borderId="0" xfId="0" applyFont="1" applyAlignment="1">
      <alignment horizontal="left" vertical="center"/>
    </xf>
    <xf numFmtId="0" fontId="2" fillId="0" borderId="0" xfId="0" applyFont="1" applyAlignment="1">
      <alignment horizontal="center" vertical="center"/>
    </xf>
    <xf numFmtId="0" fontId="7" fillId="0" borderId="0" xfId="0" applyFont="1"/>
    <xf numFmtId="0" fontId="5"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Average Maturity Score by Function</a:t>
            </a:r>
          </a:p>
        </c:rich>
      </c:tx>
      <c:overlay val="0"/>
      <c:spPr>
        <a:noFill/>
        <a:ln w="0">
          <a:noFill/>
        </a:ln>
      </c:spPr>
    </c:title>
    <c:autoTitleDeleted val="0"/>
    <c:plotArea>
      <c:layout/>
      <c:barChart>
        <c:barDir val="col"/>
        <c:grouping val="clustered"/>
        <c:varyColors val="0"/>
        <c:ser>
          <c:idx val="0"/>
          <c:order val="0"/>
          <c:tx>
            <c:strRef>
              <c:f>'Maturity Summary'!$B$3</c:f>
              <c:strCache>
                <c:ptCount val="1"/>
                <c:pt idx="0">
                  <c:v>Average Maturity Score (0-4)</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'Maturity Summary'!$A$4:$A$9</c:f>
              <c:strCache>
                <c:ptCount val="6"/>
                <c:pt idx="0">
                  <c:v>GOVERN (GV)</c:v>
                </c:pt>
                <c:pt idx="1">
                  <c:v>IDENTIFY (ID)</c:v>
                </c:pt>
                <c:pt idx="2">
                  <c:v>PROTECT (PR)</c:v>
                </c:pt>
                <c:pt idx="3">
                  <c:v>DETECT (DE)</c:v>
                </c:pt>
                <c:pt idx="4">
                  <c:v>RESPOND (RS)</c:v>
                </c:pt>
                <c:pt idx="5">
                  <c:v>RECOVER (RC)</c:v>
                </c:pt>
              </c:strCache>
            </c:strRef>
          </c:cat>
          <c:val>
            <c:numRef>
              <c:f>'Maturity Summary'!$B$4:$B$9</c:f>
              <c:numCache>
                <c:formatCode>General</c:formatCode>
                <c:ptCount val="6"/>
                <c:pt idx="0">
                  <c:v>0.9</c:v>
                </c:pt>
                <c:pt idx="1">
                  <c:v>1.1399999999999999</c:v>
                </c:pt>
                <c:pt idx="2">
                  <c:v>1.86</c:v>
                </c:pt>
                <c:pt idx="3">
                  <c:v>0.45</c:v>
                </c:pt>
                <c:pt idx="4">
                  <c:v>0.69</c:v>
                </c:pt>
                <c:pt idx="5">
                  <c:v>1</c:v>
                </c:pt>
              </c:numCache>
            </c:numRef>
          </c:val>
          <c:extLst>
            <c:ext xmlns:c16="http://schemas.microsoft.com/office/drawing/2014/chart" uri="{C3380CC4-5D6E-409C-BE32-E72D297353CC}">
              <c16:uniqueId val="{00000000-AFF6-444F-8DE8-2EA56E1731A9}"/>
            </c:ext>
          </c:extLst>
        </c:ser>
        <c:dLbls>
          <c:showLegendKey val="0"/>
          <c:showVal val="0"/>
          <c:showCatName val="0"/>
          <c:showSerName val="0"/>
          <c:showPercent val="0"/>
          <c:showBubbleSize val="0"/>
        </c:dLbls>
        <c:gapWidth val="150"/>
        <c:axId val="37772136"/>
        <c:axId val="79617098"/>
      </c:barChart>
      <c:catAx>
        <c:axId val="37772136"/>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Function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617098"/>
        <c:crosses val="autoZero"/>
        <c:auto val="1"/>
        <c:lblAlgn val="ctr"/>
        <c:lblOffset val="100"/>
        <c:noMultiLvlLbl val="0"/>
      </c:catAx>
      <c:valAx>
        <c:axId val="79617098"/>
        <c:scaling>
          <c:orientation val="minMax"/>
          <c:max val="4"/>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Maturity (0-4)</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77213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160560</xdr:rowOff>
    </xdr:from>
    <xdr:to>
      <xdr:col>15</xdr:col>
      <xdr:colOff>364320</xdr:colOff>
      <xdr:row>17</xdr:row>
      <xdr:rowOff>72780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showGridLines="0" zoomScaleNormal="100" workbookViewId="0"/>
  </sheetViews>
  <sheetFormatPr defaultColWidth="8.6640625" defaultRowHeight="14.4" x14ac:dyDescent="0.3"/>
  <cols>
    <col min="1" max="1" width="100" customWidth="1"/>
  </cols>
  <sheetData>
    <row r="1" spans="1:1" ht="25.5" customHeight="1" x14ac:dyDescent="0.3">
      <c r="A1" s="2" t="s">
        <v>0</v>
      </c>
    </row>
    <row r="2" spans="1:1" x14ac:dyDescent="0.3">
      <c r="A2" s="3"/>
    </row>
    <row r="3" spans="1:1" ht="18" customHeight="1" x14ac:dyDescent="0.3">
      <c r="A3" s="4" t="s">
        <v>1</v>
      </c>
    </row>
    <row r="4" spans="1:1" ht="18" customHeight="1" x14ac:dyDescent="0.3">
      <c r="A4" s="3" t="s">
        <v>2</v>
      </c>
    </row>
    <row r="5" spans="1:1" x14ac:dyDescent="0.3">
      <c r="A5" s="3"/>
    </row>
    <row r="6" spans="1:1" ht="18" customHeight="1" x14ac:dyDescent="0.3">
      <c r="A6" s="4" t="s">
        <v>3</v>
      </c>
    </row>
    <row r="7" spans="1:1" ht="18" customHeight="1" x14ac:dyDescent="0.3">
      <c r="A7" s="3" t="s">
        <v>4</v>
      </c>
    </row>
    <row r="8" spans="1:1" ht="18" customHeight="1" x14ac:dyDescent="0.3">
      <c r="A8" s="3" t="s">
        <v>5</v>
      </c>
    </row>
    <row r="9" spans="1:1" ht="18" customHeight="1" x14ac:dyDescent="0.3">
      <c r="A9" s="3" t="s">
        <v>6</v>
      </c>
    </row>
    <row r="10" spans="1:1" ht="18" customHeight="1" x14ac:dyDescent="0.3">
      <c r="A10" s="3" t="s">
        <v>7</v>
      </c>
    </row>
    <row r="11" spans="1:1" x14ac:dyDescent="0.3">
      <c r="A11" s="3"/>
    </row>
    <row r="12" spans="1:1" ht="18" customHeight="1" x14ac:dyDescent="0.3">
      <c r="A12" s="4" t="s">
        <v>8</v>
      </c>
    </row>
    <row r="13" spans="1:1" ht="18" customHeight="1" x14ac:dyDescent="0.3">
      <c r="A13" s="3" t="s">
        <v>9</v>
      </c>
    </row>
    <row r="14" spans="1:1" ht="18" customHeight="1" x14ac:dyDescent="0.3">
      <c r="A14" s="3" t="s">
        <v>10</v>
      </c>
    </row>
    <row r="15" spans="1:1" ht="18" customHeight="1" x14ac:dyDescent="0.3">
      <c r="A15" s="3" t="s">
        <v>11</v>
      </c>
    </row>
    <row r="16" spans="1:1" ht="18" customHeight="1" x14ac:dyDescent="0.3">
      <c r="A16" s="3" t="s">
        <v>12</v>
      </c>
    </row>
    <row r="17" spans="1:1" ht="18" customHeight="1" x14ac:dyDescent="0.3">
      <c r="A17" s="3" t="s">
        <v>13</v>
      </c>
    </row>
    <row r="18" spans="1:1" x14ac:dyDescent="0.3">
      <c r="A18" s="3"/>
    </row>
    <row r="19" spans="1:1" ht="18" customHeight="1" x14ac:dyDescent="0.3">
      <c r="A19" s="4" t="s">
        <v>14</v>
      </c>
    </row>
    <row r="20" spans="1:1" ht="18" customHeight="1" x14ac:dyDescent="0.3">
      <c r="A20" s="3"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7"/>
  <sheetViews>
    <sheetView tabSelected="1" zoomScaleNormal="100" workbookViewId="0">
      <pane ySplit="1" topLeftCell="A10" activePane="bottomLeft" state="frozen"/>
      <selection pane="bottomLeft" activeCell="E14" sqref="E14"/>
    </sheetView>
  </sheetViews>
  <sheetFormatPr defaultColWidth="8.6640625" defaultRowHeight="14.4" x14ac:dyDescent="0.3"/>
  <cols>
    <col min="1" max="1" width="14" customWidth="1"/>
    <col min="2" max="2" width="10" customWidth="1"/>
    <col min="3" max="3" width="26" customWidth="1"/>
    <col min="4" max="4" width="12" customWidth="1"/>
    <col min="5" max="6" width="42" customWidth="1"/>
    <col min="7" max="7" width="46" customWidth="1"/>
    <col min="8" max="8" width="12" customWidth="1"/>
    <col min="9" max="9" width="10" customWidth="1"/>
    <col min="10" max="10" width="46" customWidth="1"/>
  </cols>
  <sheetData>
    <row r="1" spans="1:10" ht="31.5" customHeight="1" x14ac:dyDescent="0.3">
      <c r="A1" s="5" t="s">
        <v>16</v>
      </c>
      <c r="B1" s="5" t="s">
        <v>17</v>
      </c>
      <c r="C1" s="5" t="s">
        <v>18</v>
      </c>
      <c r="D1" s="5" t="s">
        <v>19</v>
      </c>
      <c r="E1" s="5" t="s">
        <v>20</v>
      </c>
      <c r="F1" s="5" t="s">
        <v>21</v>
      </c>
      <c r="G1" s="5" t="s">
        <v>22</v>
      </c>
      <c r="H1" s="5" t="s">
        <v>23</v>
      </c>
      <c r="I1" s="5" t="s">
        <v>24</v>
      </c>
      <c r="J1" s="5" t="s">
        <v>25</v>
      </c>
    </row>
    <row r="2" spans="1:10" ht="60" customHeight="1" x14ac:dyDescent="0.3">
      <c r="A2" s="6" t="s">
        <v>26</v>
      </c>
      <c r="B2" s="6" t="s">
        <v>27</v>
      </c>
      <c r="C2" s="6" t="s">
        <v>28</v>
      </c>
      <c r="D2" s="6" t="s">
        <v>29</v>
      </c>
      <c r="E2" s="6" t="s">
        <v>30</v>
      </c>
      <c r="F2" s="6" t="s">
        <v>31</v>
      </c>
      <c r="G2" s="6" t="s">
        <v>32</v>
      </c>
      <c r="H2" s="7">
        <v>1</v>
      </c>
      <c r="I2" s="7" t="s">
        <v>33</v>
      </c>
      <c r="J2" s="6" t="s">
        <v>34</v>
      </c>
    </row>
    <row r="3" spans="1:10" ht="60" customHeight="1" x14ac:dyDescent="0.3">
      <c r="A3" s="6" t="s">
        <v>26</v>
      </c>
      <c r="B3" s="6" t="s">
        <v>27</v>
      </c>
      <c r="C3" s="6" t="s">
        <v>28</v>
      </c>
      <c r="D3" s="6" t="s">
        <v>35</v>
      </c>
      <c r="E3" s="6" t="s">
        <v>36</v>
      </c>
      <c r="F3" s="6" t="s">
        <v>37</v>
      </c>
      <c r="G3" s="6" t="s">
        <v>32</v>
      </c>
      <c r="H3" s="7">
        <v>1</v>
      </c>
      <c r="I3" s="7" t="s">
        <v>33</v>
      </c>
      <c r="J3" s="6" t="s">
        <v>34</v>
      </c>
    </row>
    <row r="4" spans="1:10" ht="60" customHeight="1" x14ac:dyDescent="0.3">
      <c r="A4" s="6" t="s">
        <v>26</v>
      </c>
      <c r="B4" s="6" t="s">
        <v>27</v>
      </c>
      <c r="C4" s="6" t="s">
        <v>28</v>
      </c>
      <c r="D4" s="6" t="s">
        <v>38</v>
      </c>
      <c r="E4" s="6" t="s">
        <v>39</v>
      </c>
      <c r="F4" s="6" t="s">
        <v>40</v>
      </c>
      <c r="G4" s="6" t="s">
        <v>32</v>
      </c>
      <c r="H4" s="7">
        <v>1</v>
      </c>
      <c r="I4" s="7" t="s">
        <v>33</v>
      </c>
      <c r="J4" s="6" t="s">
        <v>34</v>
      </c>
    </row>
    <row r="5" spans="1:10" ht="60" customHeight="1" x14ac:dyDescent="0.3">
      <c r="A5" s="6" t="s">
        <v>26</v>
      </c>
      <c r="B5" s="6" t="s">
        <v>27</v>
      </c>
      <c r="C5" s="6" t="s">
        <v>28</v>
      </c>
      <c r="D5" s="6" t="s">
        <v>41</v>
      </c>
      <c r="E5" s="6" t="s">
        <v>42</v>
      </c>
      <c r="F5" s="6" t="s">
        <v>43</v>
      </c>
      <c r="G5" s="6" t="s">
        <v>32</v>
      </c>
      <c r="H5" s="7">
        <v>1</v>
      </c>
      <c r="I5" s="7" t="s">
        <v>33</v>
      </c>
      <c r="J5" s="6" t="s">
        <v>34</v>
      </c>
    </row>
    <row r="6" spans="1:10" ht="60" customHeight="1" x14ac:dyDescent="0.3">
      <c r="A6" s="6" t="s">
        <v>26</v>
      </c>
      <c r="B6" s="6" t="s">
        <v>27</v>
      </c>
      <c r="C6" s="6" t="s">
        <v>28</v>
      </c>
      <c r="D6" s="6" t="s">
        <v>44</v>
      </c>
      <c r="E6" s="6" t="s">
        <v>45</v>
      </c>
      <c r="F6" s="6" t="s">
        <v>46</v>
      </c>
      <c r="G6" s="6" t="s">
        <v>32</v>
      </c>
      <c r="H6" s="7">
        <v>1</v>
      </c>
      <c r="I6" s="7" t="s">
        <v>33</v>
      </c>
      <c r="J6" s="6" t="s">
        <v>34</v>
      </c>
    </row>
    <row r="7" spans="1:10" ht="60" customHeight="1" x14ac:dyDescent="0.3">
      <c r="A7" s="6" t="s">
        <v>26</v>
      </c>
      <c r="B7" s="6" t="s">
        <v>47</v>
      </c>
      <c r="C7" s="6" t="s">
        <v>48</v>
      </c>
      <c r="D7" s="6" t="s">
        <v>49</v>
      </c>
      <c r="E7" s="6" t="s">
        <v>50</v>
      </c>
      <c r="F7" s="6" t="s">
        <v>51</v>
      </c>
      <c r="G7" s="6" t="s">
        <v>52</v>
      </c>
      <c r="H7" s="7">
        <v>1</v>
      </c>
      <c r="I7" s="7" t="s">
        <v>33</v>
      </c>
      <c r="J7" s="6" t="s">
        <v>53</v>
      </c>
    </row>
    <row r="8" spans="1:10" ht="60" customHeight="1" x14ac:dyDescent="0.3">
      <c r="A8" s="6" t="s">
        <v>26</v>
      </c>
      <c r="B8" s="6" t="s">
        <v>47</v>
      </c>
      <c r="C8" s="6" t="s">
        <v>48</v>
      </c>
      <c r="D8" s="6" t="s">
        <v>54</v>
      </c>
      <c r="E8" s="6" t="s">
        <v>55</v>
      </c>
      <c r="F8" s="6" t="s">
        <v>56</v>
      </c>
      <c r="G8" s="6" t="s">
        <v>52</v>
      </c>
      <c r="H8" s="7">
        <v>1</v>
      </c>
      <c r="I8" s="7" t="s">
        <v>33</v>
      </c>
      <c r="J8" s="6" t="s">
        <v>53</v>
      </c>
    </row>
    <row r="9" spans="1:10" ht="60" customHeight="1" x14ac:dyDescent="0.3">
      <c r="A9" s="6" t="s">
        <v>26</v>
      </c>
      <c r="B9" s="6" t="s">
        <v>47</v>
      </c>
      <c r="C9" s="6" t="s">
        <v>48</v>
      </c>
      <c r="D9" s="6" t="s">
        <v>57</v>
      </c>
      <c r="E9" s="6" t="s">
        <v>58</v>
      </c>
      <c r="F9" s="6" t="s">
        <v>59</v>
      </c>
      <c r="G9" s="6" t="s">
        <v>52</v>
      </c>
      <c r="H9" s="7">
        <v>1</v>
      </c>
      <c r="I9" s="7" t="s">
        <v>33</v>
      </c>
      <c r="J9" s="6" t="s">
        <v>53</v>
      </c>
    </row>
    <row r="10" spans="1:10" ht="60" customHeight="1" x14ac:dyDescent="0.3">
      <c r="A10" s="6" t="s">
        <v>26</v>
      </c>
      <c r="B10" s="6" t="s">
        <v>47</v>
      </c>
      <c r="C10" s="6" t="s">
        <v>48</v>
      </c>
      <c r="D10" s="6" t="s">
        <v>60</v>
      </c>
      <c r="E10" s="6" t="s">
        <v>61</v>
      </c>
      <c r="F10" s="6" t="s">
        <v>62</v>
      </c>
      <c r="G10" s="6" t="s">
        <v>52</v>
      </c>
      <c r="H10" s="7">
        <v>1</v>
      </c>
      <c r="I10" s="7" t="s">
        <v>33</v>
      </c>
      <c r="J10" s="6" t="s">
        <v>53</v>
      </c>
    </row>
    <row r="11" spans="1:10" ht="60" customHeight="1" x14ac:dyDescent="0.3">
      <c r="A11" s="6" t="s">
        <v>26</v>
      </c>
      <c r="B11" s="6" t="s">
        <v>47</v>
      </c>
      <c r="C11" s="6" t="s">
        <v>48</v>
      </c>
      <c r="D11" s="6" t="s">
        <v>63</v>
      </c>
      <c r="E11" s="6" t="s">
        <v>64</v>
      </c>
      <c r="F11" s="6" t="s">
        <v>65</v>
      </c>
      <c r="G11" s="6" t="s">
        <v>52</v>
      </c>
      <c r="H11" s="7">
        <v>1</v>
      </c>
      <c r="I11" s="7" t="s">
        <v>33</v>
      </c>
      <c r="J11" s="6" t="s">
        <v>53</v>
      </c>
    </row>
    <row r="12" spans="1:10" ht="60" customHeight="1" x14ac:dyDescent="0.3">
      <c r="A12" s="6" t="s">
        <v>26</v>
      </c>
      <c r="B12" s="6" t="s">
        <v>47</v>
      </c>
      <c r="C12" s="6" t="s">
        <v>48</v>
      </c>
      <c r="D12" s="6" t="s">
        <v>66</v>
      </c>
      <c r="E12" s="6" t="s">
        <v>67</v>
      </c>
      <c r="F12" s="6" t="s">
        <v>68</v>
      </c>
      <c r="G12" s="6" t="s">
        <v>52</v>
      </c>
      <c r="H12" s="7">
        <v>1</v>
      </c>
      <c r="I12" s="7" t="s">
        <v>33</v>
      </c>
      <c r="J12" s="6" t="s">
        <v>53</v>
      </c>
    </row>
    <row r="13" spans="1:10" ht="60" customHeight="1" x14ac:dyDescent="0.3">
      <c r="A13" s="6" t="s">
        <v>26</v>
      </c>
      <c r="B13" s="6" t="s">
        <v>47</v>
      </c>
      <c r="C13" s="6" t="s">
        <v>48</v>
      </c>
      <c r="D13" s="6" t="s">
        <v>69</v>
      </c>
      <c r="E13" s="6" t="s">
        <v>70</v>
      </c>
      <c r="F13" s="6" t="s">
        <v>71</v>
      </c>
      <c r="G13" s="6" t="s">
        <v>52</v>
      </c>
      <c r="H13" s="7">
        <v>1</v>
      </c>
      <c r="I13" s="7" t="s">
        <v>33</v>
      </c>
      <c r="J13" s="6" t="s">
        <v>53</v>
      </c>
    </row>
    <row r="14" spans="1:10" ht="60" customHeight="1" x14ac:dyDescent="0.3">
      <c r="A14" s="6" t="s">
        <v>26</v>
      </c>
      <c r="B14" s="6" t="s">
        <v>72</v>
      </c>
      <c r="C14" s="6" t="s">
        <v>73</v>
      </c>
      <c r="D14" s="6" t="s">
        <v>74</v>
      </c>
      <c r="E14" s="6" t="s">
        <v>75</v>
      </c>
      <c r="F14" s="6" t="s">
        <v>76</v>
      </c>
      <c r="G14" s="6" t="s">
        <v>77</v>
      </c>
      <c r="H14" s="7">
        <v>1</v>
      </c>
      <c r="I14" s="7" t="s">
        <v>33</v>
      </c>
      <c r="J14" s="6" t="s">
        <v>78</v>
      </c>
    </row>
    <row r="15" spans="1:10" ht="60" customHeight="1" x14ac:dyDescent="0.3">
      <c r="A15" s="6" t="s">
        <v>26</v>
      </c>
      <c r="B15" s="6" t="s">
        <v>72</v>
      </c>
      <c r="C15" s="6" t="s">
        <v>73</v>
      </c>
      <c r="D15" s="6" t="s">
        <v>79</v>
      </c>
      <c r="E15" s="6" t="s">
        <v>80</v>
      </c>
      <c r="F15" s="6" t="s">
        <v>81</v>
      </c>
      <c r="G15" s="6" t="s">
        <v>77</v>
      </c>
      <c r="H15" s="7">
        <v>1</v>
      </c>
      <c r="I15" s="7" t="s">
        <v>33</v>
      </c>
      <c r="J15" s="6" t="s">
        <v>78</v>
      </c>
    </row>
    <row r="16" spans="1:10" ht="60" customHeight="1" x14ac:dyDescent="0.3">
      <c r="A16" s="6" t="s">
        <v>26</v>
      </c>
      <c r="B16" s="6" t="s">
        <v>72</v>
      </c>
      <c r="C16" s="6" t="s">
        <v>73</v>
      </c>
      <c r="D16" s="6" t="s">
        <v>82</v>
      </c>
      <c r="E16" s="6" t="s">
        <v>83</v>
      </c>
      <c r="F16" s="6" t="s">
        <v>84</v>
      </c>
      <c r="G16" s="6" t="s">
        <v>77</v>
      </c>
      <c r="H16" s="7">
        <v>1</v>
      </c>
      <c r="I16" s="7" t="s">
        <v>33</v>
      </c>
      <c r="J16" s="6" t="s">
        <v>78</v>
      </c>
    </row>
    <row r="17" spans="1:10" ht="60" customHeight="1" x14ac:dyDescent="0.3">
      <c r="A17" s="6" t="s">
        <v>26</v>
      </c>
      <c r="B17" s="6" t="s">
        <v>72</v>
      </c>
      <c r="C17" s="6" t="s">
        <v>73</v>
      </c>
      <c r="D17" s="6" t="s">
        <v>85</v>
      </c>
      <c r="E17" s="6" t="s">
        <v>86</v>
      </c>
      <c r="F17" s="6" t="s">
        <v>87</v>
      </c>
      <c r="G17" s="6" t="s">
        <v>77</v>
      </c>
      <c r="H17" s="7">
        <v>1</v>
      </c>
      <c r="I17" s="7" t="s">
        <v>33</v>
      </c>
      <c r="J17" s="6" t="s">
        <v>78</v>
      </c>
    </row>
    <row r="18" spans="1:10" ht="60" customHeight="1" x14ac:dyDescent="0.3">
      <c r="A18" s="6" t="s">
        <v>26</v>
      </c>
      <c r="B18" s="6" t="s">
        <v>72</v>
      </c>
      <c r="C18" s="6" t="s">
        <v>73</v>
      </c>
      <c r="D18" s="6" t="s">
        <v>88</v>
      </c>
      <c r="E18" s="6" t="s">
        <v>89</v>
      </c>
      <c r="F18" s="6" t="s">
        <v>90</v>
      </c>
      <c r="G18" s="6" t="s">
        <v>77</v>
      </c>
      <c r="H18" s="7">
        <v>1</v>
      </c>
      <c r="I18" s="7" t="s">
        <v>33</v>
      </c>
      <c r="J18" s="6" t="s">
        <v>78</v>
      </c>
    </row>
    <row r="19" spans="1:10" ht="60" customHeight="1" x14ac:dyDescent="0.3">
      <c r="A19" s="6" t="s">
        <v>26</v>
      </c>
      <c r="B19" s="6" t="s">
        <v>72</v>
      </c>
      <c r="C19" s="6" t="s">
        <v>73</v>
      </c>
      <c r="D19" s="6" t="s">
        <v>91</v>
      </c>
      <c r="E19" s="6" t="s">
        <v>92</v>
      </c>
      <c r="F19" s="6" t="s">
        <v>93</v>
      </c>
      <c r="G19" s="6" t="s">
        <v>77</v>
      </c>
      <c r="H19" s="7">
        <v>1</v>
      </c>
      <c r="I19" s="7" t="s">
        <v>33</v>
      </c>
      <c r="J19" s="6" t="s">
        <v>78</v>
      </c>
    </row>
    <row r="20" spans="1:10" ht="60" customHeight="1" x14ac:dyDescent="0.3">
      <c r="A20" s="6" t="s">
        <v>26</v>
      </c>
      <c r="B20" s="6" t="s">
        <v>72</v>
      </c>
      <c r="C20" s="6" t="s">
        <v>73</v>
      </c>
      <c r="D20" s="6" t="s">
        <v>94</v>
      </c>
      <c r="E20" s="6" t="s">
        <v>95</v>
      </c>
      <c r="F20" s="6" t="s">
        <v>96</v>
      </c>
      <c r="G20" s="6" t="s">
        <v>77</v>
      </c>
      <c r="H20" s="7">
        <v>1</v>
      </c>
      <c r="I20" s="7" t="s">
        <v>33</v>
      </c>
      <c r="J20" s="6" t="s">
        <v>78</v>
      </c>
    </row>
    <row r="21" spans="1:10" ht="60" customHeight="1" x14ac:dyDescent="0.3">
      <c r="A21" s="6" t="s">
        <v>26</v>
      </c>
      <c r="B21" s="6" t="s">
        <v>72</v>
      </c>
      <c r="C21" s="6" t="s">
        <v>73</v>
      </c>
      <c r="D21" s="6" t="s">
        <v>97</v>
      </c>
      <c r="E21" s="6" t="s">
        <v>98</v>
      </c>
      <c r="F21" s="6" t="s">
        <v>99</v>
      </c>
      <c r="G21" s="6" t="s">
        <v>77</v>
      </c>
      <c r="H21" s="7">
        <v>1</v>
      </c>
      <c r="I21" s="7" t="s">
        <v>33</v>
      </c>
      <c r="J21" s="6" t="s">
        <v>78</v>
      </c>
    </row>
    <row r="22" spans="1:10" ht="60" customHeight="1" x14ac:dyDescent="0.3">
      <c r="A22" s="6" t="s">
        <v>26</v>
      </c>
      <c r="B22" s="6" t="s">
        <v>72</v>
      </c>
      <c r="C22" s="6" t="s">
        <v>73</v>
      </c>
      <c r="D22" s="6" t="s">
        <v>100</v>
      </c>
      <c r="E22" s="6" t="s">
        <v>101</v>
      </c>
      <c r="F22" s="6" t="s">
        <v>102</v>
      </c>
      <c r="G22" s="6" t="s">
        <v>77</v>
      </c>
      <c r="H22" s="7">
        <v>1</v>
      </c>
      <c r="I22" s="7" t="s">
        <v>33</v>
      </c>
      <c r="J22" s="6" t="s">
        <v>78</v>
      </c>
    </row>
    <row r="23" spans="1:10" ht="60" customHeight="1" x14ac:dyDescent="0.3">
      <c r="A23" s="6" t="s">
        <v>26</v>
      </c>
      <c r="B23" s="6" t="s">
        <v>72</v>
      </c>
      <c r="C23" s="6" t="s">
        <v>73</v>
      </c>
      <c r="D23" s="6" t="s">
        <v>103</v>
      </c>
      <c r="E23" s="6" t="s">
        <v>104</v>
      </c>
      <c r="F23" s="6" t="s">
        <v>105</v>
      </c>
      <c r="G23" s="6" t="s">
        <v>77</v>
      </c>
      <c r="H23" s="7">
        <v>1</v>
      </c>
      <c r="I23" s="7" t="s">
        <v>33</v>
      </c>
      <c r="J23" s="6" t="s">
        <v>78</v>
      </c>
    </row>
    <row r="24" spans="1:10" ht="60" customHeight="1" x14ac:dyDescent="0.3">
      <c r="A24" s="6" t="s">
        <v>26</v>
      </c>
      <c r="B24" s="6" t="s">
        <v>106</v>
      </c>
      <c r="C24" s="6" t="s">
        <v>107</v>
      </c>
      <c r="D24" s="6" t="s">
        <v>108</v>
      </c>
      <c r="E24" s="6" t="s">
        <v>109</v>
      </c>
      <c r="F24" s="6" t="s">
        <v>110</v>
      </c>
      <c r="G24" s="6" t="s">
        <v>111</v>
      </c>
      <c r="H24" s="7">
        <v>1</v>
      </c>
      <c r="I24" s="8" t="s">
        <v>112</v>
      </c>
      <c r="J24" s="6" t="s">
        <v>113</v>
      </c>
    </row>
    <row r="25" spans="1:10" ht="60" customHeight="1" x14ac:dyDescent="0.3">
      <c r="A25" s="6" t="s">
        <v>26</v>
      </c>
      <c r="B25" s="6" t="s">
        <v>106</v>
      </c>
      <c r="C25" s="6" t="s">
        <v>107</v>
      </c>
      <c r="D25" s="6" t="s">
        <v>114</v>
      </c>
      <c r="E25" s="6" t="s">
        <v>115</v>
      </c>
      <c r="F25" s="6" t="s">
        <v>116</v>
      </c>
      <c r="G25" s="6" t="s">
        <v>111</v>
      </c>
      <c r="H25" s="7">
        <v>1</v>
      </c>
      <c r="I25" s="8" t="s">
        <v>112</v>
      </c>
      <c r="J25" s="6" t="s">
        <v>113</v>
      </c>
    </row>
    <row r="26" spans="1:10" ht="60" customHeight="1" x14ac:dyDescent="0.3">
      <c r="A26" s="6" t="s">
        <v>26</v>
      </c>
      <c r="B26" s="6" t="s">
        <v>106</v>
      </c>
      <c r="C26" s="6" t="s">
        <v>107</v>
      </c>
      <c r="D26" s="6" t="s">
        <v>117</v>
      </c>
      <c r="E26" s="6" t="s">
        <v>118</v>
      </c>
      <c r="F26" s="6" t="s">
        <v>119</v>
      </c>
      <c r="G26" s="6" t="s">
        <v>111</v>
      </c>
      <c r="H26" s="7">
        <v>1</v>
      </c>
      <c r="I26" s="8" t="s">
        <v>112</v>
      </c>
      <c r="J26" s="6" t="s">
        <v>113</v>
      </c>
    </row>
    <row r="27" spans="1:10" ht="60" customHeight="1" x14ac:dyDescent="0.3">
      <c r="A27" s="6" t="s">
        <v>26</v>
      </c>
      <c r="B27" s="6" t="s">
        <v>106</v>
      </c>
      <c r="C27" s="6" t="s">
        <v>107</v>
      </c>
      <c r="D27" s="6" t="s">
        <v>120</v>
      </c>
      <c r="E27" s="6" t="s">
        <v>121</v>
      </c>
      <c r="F27" s="6" t="s">
        <v>122</v>
      </c>
      <c r="G27" s="6" t="s">
        <v>111</v>
      </c>
      <c r="H27" s="7">
        <v>1</v>
      </c>
      <c r="I27" s="8" t="s">
        <v>112</v>
      </c>
      <c r="J27" s="6" t="s">
        <v>113</v>
      </c>
    </row>
    <row r="28" spans="1:10" ht="60" customHeight="1" x14ac:dyDescent="0.3">
      <c r="A28" s="6" t="s">
        <v>26</v>
      </c>
      <c r="B28" s="6" t="s">
        <v>123</v>
      </c>
      <c r="C28" s="6" t="s">
        <v>124</v>
      </c>
      <c r="D28" s="6" t="s">
        <v>125</v>
      </c>
      <c r="E28" s="6" t="s">
        <v>126</v>
      </c>
      <c r="F28" s="6" t="s">
        <v>127</v>
      </c>
      <c r="G28" s="6" t="s">
        <v>128</v>
      </c>
      <c r="H28" s="7">
        <v>1</v>
      </c>
      <c r="I28" s="7" t="s">
        <v>33</v>
      </c>
      <c r="J28" s="6" t="s">
        <v>129</v>
      </c>
    </row>
    <row r="29" spans="1:10" ht="60" customHeight="1" x14ac:dyDescent="0.3">
      <c r="A29" s="6" t="s">
        <v>26</v>
      </c>
      <c r="B29" s="6" t="s">
        <v>123</v>
      </c>
      <c r="C29" s="6" t="s">
        <v>124</v>
      </c>
      <c r="D29" s="6" t="s">
        <v>130</v>
      </c>
      <c r="E29" s="6" t="s">
        <v>131</v>
      </c>
      <c r="F29" s="6" t="s">
        <v>132</v>
      </c>
      <c r="G29" s="6" t="s">
        <v>128</v>
      </c>
      <c r="H29" s="7">
        <v>1</v>
      </c>
      <c r="I29" s="7" t="s">
        <v>33</v>
      </c>
      <c r="J29" s="6" t="s">
        <v>129</v>
      </c>
    </row>
    <row r="30" spans="1:10" ht="60" customHeight="1" x14ac:dyDescent="0.3">
      <c r="A30" s="6" t="s">
        <v>26</v>
      </c>
      <c r="B30" s="6" t="s">
        <v>133</v>
      </c>
      <c r="C30" s="6" t="s">
        <v>134</v>
      </c>
      <c r="D30" s="6" t="s">
        <v>135</v>
      </c>
      <c r="E30" s="6" t="s">
        <v>136</v>
      </c>
      <c r="F30" s="6" t="s">
        <v>137</v>
      </c>
      <c r="G30" s="6" t="s">
        <v>138</v>
      </c>
      <c r="H30" s="9">
        <v>0</v>
      </c>
      <c r="I30" s="8" t="s">
        <v>112</v>
      </c>
      <c r="J30" s="6" t="s">
        <v>139</v>
      </c>
    </row>
    <row r="31" spans="1:10" ht="60" customHeight="1" x14ac:dyDescent="0.3">
      <c r="A31" s="6" t="s">
        <v>26</v>
      </c>
      <c r="B31" s="6" t="s">
        <v>133</v>
      </c>
      <c r="C31" s="6" t="s">
        <v>134</v>
      </c>
      <c r="D31" s="6" t="s">
        <v>140</v>
      </c>
      <c r="E31" s="6" t="s">
        <v>141</v>
      </c>
      <c r="F31" s="6" t="s">
        <v>142</v>
      </c>
      <c r="G31" s="6" t="s">
        <v>138</v>
      </c>
      <c r="H31" s="9">
        <v>0</v>
      </c>
      <c r="I31" s="8" t="s">
        <v>112</v>
      </c>
      <c r="J31" s="6" t="s">
        <v>139</v>
      </c>
    </row>
    <row r="32" spans="1:10" ht="60" customHeight="1" x14ac:dyDescent="0.3">
      <c r="A32" s="6" t="s">
        <v>26</v>
      </c>
      <c r="B32" s="6" t="s">
        <v>133</v>
      </c>
      <c r="C32" s="6" t="s">
        <v>134</v>
      </c>
      <c r="D32" s="6" t="s">
        <v>143</v>
      </c>
      <c r="E32" s="6" t="s">
        <v>144</v>
      </c>
      <c r="F32" s="6" t="s">
        <v>145</v>
      </c>
      <c r="G32" s="6" t="s">
        <v>138</v>
      </c>
      <c r="H32" s="9">
        <v>0</v>
      </c>
      <c r="I32" s="8" t="s">
        <v>112</v>
      </c>
      <c r="J32" s="6" t="s">
        <v>139</v>
      </c>
    </row>
    <row r="33" spans="1:10" ht="60" customHeight="1" x14ac:dyDescent="0.3">
      <c r="A33" s="6" t="s">
        <v>146</v>
      </c>
      <c r="B33" s="6" t="s">
        <v>147</v>
      </c>
      <c r="C33" s="6" t="s">
        <v>148</v>
      </c>
      <c r="D33" s="6" t="s">
        <v>149</v>
      </c>
      <c r="E33" s="6" t="s">
        <v>150</v>
      </c>
      <c r="F33" s="6" t="s">
        <v>151</v>
      </c>
      <c r="G33" s="6" t="s">
        <v>152</v>
      </c>
      <c r="H33" s="8">
        <v>2</v>
      </c>
      <c r="I33" s="8" t="s">
        <v>112</v>
      </c>
      <c r="J33" s="6" t="s">
        <v>153</v>
      </c>
    </row>
    <row r="34" spans="1:10" ht="60" customHeight="1" x14ac:dyDescent="0.3">
      <c r="A34" s="6" t="s">
        <v>146</v>
      </c>
      <c r="B34" s="6" t="s">
        <v>147</v>
      </c>
      <c r="C34" s="6" t="s">
        <v>148</v>
      </c>
      <c r="D34" s="6" t="s">
        <v>154</v>
      </c>
      <c r="E34" s="6" t="s">
        <v>155</v>
      </c>
      <c r="F34" s="6" t="s">
        <v>156</v>
      </c>
      <c r="G34" s="6" t="s">
        <v>152</v>
      </c>
      <c r="H34" s="8">
        <v>2</v>
      </c>
      <c r="I34" s="8" t="s">
        <v>112</v>
      </c>
      <c r="J34" s="6" t="s">
        <v>153</v>
      </c>
    </row>
    <row r="35" spans="1:10" ht="60" customHeight="1" x14ac:dyDescent="0.3">
      <c r="A35" s="6" t="s">
        <v>146</v>
      </c>
      <c r="B35" s="6" t="s">
        <v>147</v>
      </c>
      <c r="C35" s="6" t="s">
        <v>148</v>
      </c>
      <c r="D35" s="6" t="s">
        <v>157</v>
      </c>
      <c r="E35" s="6" t="s">
        <v>158</v>
      </c>
      <c r="F35" s="6" t="s">
        <v>159</v>
      </c>
      <c r="G35" s="6" t="s">
        <v>152</v>
      </c>
      <c r="H35" s="8">
        <v>2</v>
      </c>
      <c r="I35" s="8" t="s">
        <v>112</v>
      </c>
      <c r="J35" s="6" t="s">
        <v>153</v>
      </c>
    </row>
    <row r="36" spans="1:10" ht="60" customHeight="1" x14ac:dyDescent="0.3">
      <c r="A36" s="6" t="s">
        <v>146</v>
      </c>
      <c r="B36" s="6" t="s">
        <v>147</v>
      </c>
      <c r="C36" s="6" t="s">
        <v>148</v>
      </c>
      <c r="D36" s="6" t="s">
        <v>160</v>
      </c>
      <c r="E36" s="6" t="s">
        <v>161</v>
      </c>
      <c r="F36" s="6" t="s">
        <v>162</v>
      </c>
      <c r="G36" s="6" t="s">
        <v>152</v>
      </c>
      <c r="H36" s="8">
        <v>2</v>
      </c>
      <c r="I36" s="8" t="s">
        <v>112</v>
      </c>
      <c r="J36" s="6" t="s">
        <v>153</v>
      </c>
    </row>
    <row r="37" spans="1:10" ht="60" customHeight="1" x14ac:dyDescent="0.3">
      <c r="A37" s="6" t="s">
        <v>146</v>
      </c>
      <c r="B37" s="6" t="s">
        <v>147</v>
      </c>
      <c r="C37" s="6" t="s">
        <v>148</v>
      </c>
      <c r="D37" s="6" t="s">
        <v>163</v>
      </c>
      <c r="E37" s="6" t="s">
        <v>164</v>
      </c>
      <c r="F37" s="6" t="s">
        <v>165</v>
      </c>
      <c r="G37" s="6" t="s">
        <v>152</v>
      </c>
      <c r="H37" s="8">
        <v>2</v>
      </c>
      <c r="I37" s="8" t="s">
        <v>112</v>
      </c>
      <c r="J37" s="6" t="s">
        <v>153</v>
      </c>
    </row>
    <row r="38" spans="1:10" ht="60" customHeight="1" x14ac:dyDescent="0.3">
      <c r="A38" s="6" t="s">
        <v>146</v>
      </c>
      <c r="B38" s="6" t="s">
        <v>147</v>
      </c>
      <c r="C38" s="6" t="s">
        <v>148</v>
      </c>
      <c r="D38" s="6" t="s">
        <v>166</v>
      </c>
      <c r="E38" s="6" t="s">
        <v>167</v>
      </c>
      <c r="F38" s="6" t="s">
        <v>168</v>
      </c>
      <c r="G38" s="6" t="s">
        <v>152</v>
      </c>
      <c r="H38" s="8">
        <v>2</v>
      </c>
      <c r="I38" s="8" t="s">
        <v>112</v>
      </c>
      <c r="J38" s="6" t="s">
        <v>153</v>
      </c>
    </row>
    <row r="39" spans="1:10" ht="60" customHeight="1" x14ac:dyDescent="0.3">
      <c r="A39" s="6" t="s">
        <v>146</v>
      </c>
      <c r="B39" s="6" t="s">
        <v>147</v>
      </c>
      <c r="C39" s="6" t="s">
        <v>148</v>
      </c>
      <c r="D39" s="6" t="s">
        <v>169</v>
      </c>
      <c r="E39" s="6" t="s">
        <v>170</v>
      </c>
      <c r="F39" s="6" t="s">
        <v>171</v>
      </c>
      <c r="G39" s="6" t="s">
        <v>152</v>
      </c>
      <c r="H39" s="8">
        <v>2</v>
      </c>
      <c r="I39" s="8" t="s">
        <v>112</v>
      </c>
      <c r="J39" s="6" t="s">
        <v>153</v>
      </c>
    </row>
    <row r="40" spans="1:10" ht="60" customHeight="1" x14ac:dyDescent="0.3">
      <c r="A40" s="6" t="s">
        <v>146</v>
      </c>
      <c r="B40" s="6" t="s">
        <v>172</v>
      </c>
      <c r="C40" s="6" t="s">
        <v>173</v>
      </c>
      <c r="D40" s="6" t="s">
        <v>174</v>
      </c>
      <c r="E40" s="6" t="s">
        <v>175</v>
      </c>
      <c r="F40" s="6" t="s">
        <v>176</v>
      </c>
      <c r="G40" s="6" t="s">
        <v>177</v>
      </c>
      <c r="H40" s="7">
        <v>1</v>
      </c>
      <c r="I40" s="7" t="s">
        <v>33</v>
      </c>
      <c r="J40" s="6" t="s">
        <v>178</v>
      </c>
    </row>
    <row r="41" spans="1:10" ht="60" customHeight="1" x14ac:dyDescent="0.3">
      <c r="A41" s="6" t="s">
        <v>146</v>
      </c>
      <c r="B41" s="6" t="s">
        <v>172</v>
      </c>
      <c r="C41" s="6" t="s">
        <v>173</v>
      </c>
      <c r="D41" s="6" t="s">
        <v>179</v>
      </c>
      <c r="E41" s="6" t="s">
        <v>180</v>
      </c>
      <c r="F41" s="6" t="s">
        <v>181</v>
      </c>
      <c r="G41" s="6" t="s">
        <v>177</v>
      </c>
      <c r="H41" s="7">
        <v>1</v>
      </c>
      <c r="I41" s="7" t="s">
        <v>33</v>
      </c>
      <c r="J41" s="6" t="s">
        <v>178</v>
      </c>
    </row>
    <row r="42" spans="1:10" ht="60" customHeight="1" x14ac:dyDescent="0.3">
      <c r="A42" s="6" t="s">
        <v>146</v>
      </c>
      <c r="B42" s="6" t="s">
        <v>172</v>
      </c>
      <c r="C42" s="6" t="s">
        <v>173</v>
      </c>
      <c r="D42" s="6" t="s">
        <v>182</v>
      </c>
      <c r="E42" s="6" t="s">
        <v>183</v>
      </c>
      <c r="F42" s="6" t="s">
        <v>184</v>
      </c>
      <c r="G42" s="6" t="s">
        <v>177</v>
      </c>
      <c r="H42" s="7">
        <v>1</v>
      </c>
      <c r="I42" s="7" t="s">
        <v>33</v>
      </c>
      <c r="J42" s="6" t="s">
        <v>178</v>
      </c>
    </row>
    <row r="43" spans="1:10" ht="60" customHeight="1" x14ac:dyDescent="0.3">
      <c r="A43" s="6" t="s">
        <v>146</v>
      </c>
      <c r="B43" s="6" t="s">
        <v>172</v>
      </c>
      <c r="C43" s="6" t="s">
        <v>173</v>
      </c>
      <c r="D43" s="6" t="s">
        <v>185</v>
      </c>
      <c r="E43" s="6" t="s">
        <v>186</v>
      </c>
      <c r="F43" s="6" t="s">
        <v>187</v>
      </c>
      <c r="G43" s="6" t="s">
        <v>177</v>
      </c>
      <c r="H43" s="7">
        <v>1</v>
      </c>
      <c r="I43" s="7" t="s">
        <v>33</v>
      </c>
      <c r="J43" s="6" t="s">
        <v>178</v>
      </c>
    </row>
    <row r="44" spans="1:10" ht="60" customHeight="1" x14ac:dyDescent="0.3">
      <c r="A44" s="6" t="s">
        <v>146</v>
      </c>
      <c r="B44" s="6" t="s">
        <v>172</v>
      </c>
      <c r="C44" s="6" t="s">
        <v>173</v>
      </c>
      <c r="D44" s="6" t="s">
        <v>188</v>
      </c>
      <c r="E44" s="6" t="s">
        <v>189</v>
      </c>
      <c r="F44" s="6" t="s">
        <v>190</v>
      </c>
      <c r="G44" s="6" t="s">
        <v>177</v>
      </c>
      <c r="H44" s="7">
        <v>1</v>
      </c>
      <c r="I44" s="7" t="s">
        <v>33</v>
      </c>
      <c r="J44" s="6" t="s">
        <v>178</v>
      </c>
    </row>
    <row r="45" spans="1:10" ht="60" customHeight="1" x14ac:dyDescent="0.3">
      <c r="A45" s="6" t="s">
        <v>146</v>
      </c>
      <c r="B45" s="6" t="s">
        <v>172</v>
      </c>
      <c r="C45" s="6" t="s">
        <v>173</v>
      </c>
      <c r="D45" s="6" t="s">
        <v>191</v>
      </c>
      <c r="E45" s="6" t="s">
        <v>192</v>
      </c>
      <c r="F45" s="6" t="s">
        <v>193</v>
      </c>
      <c r="G45" s="6" t="s">
        <v>177</v>
      </c>
      <c r="H45" s="7">
        <v>1</v>
      </c>
      <c r="I45" s="7" t="s">
        <v>33</v>
      </c>
      <c r="J45" s="6" t="s">
        <v>178</v>
      </c>
    </row>
    <row r="46" spans="1:10" ht="60" customHeight="1" x14ac:dyDescent="0.3">
      <c r="A46" s="6" t="s">
        <v>146</v>
      </c>
      <c r="B46" s="6" t="s">
        <v>172</v>
      </c>
      <c r="C46" s="6" t="s">
        <v>173</v>
      </c>
      <c r="D46" s="6" t="s">
        <v>194</v>
      </c>
      <c r="E46" s="6" t="s">
        <v>195</v>
      </c>
      <c r="F46" s="6" t="s">
        <v>196</v>
      </c>
      <c r="G46" s="6" t="s">
        <v>177</v>
      </c>
      <c r="H46" s="7">
        <v>1</v>
      </c>
      <c r="I46" s="7" t="s">
        <v>33</v>
      </c>
      <c r="J46" s="6" t="s">
        <v>178</v>
      </c>
    </row>
    <row r="47" spans="1:10" ht="60" customHeight="1" x14ac:dyDescent="0.3">
      <c r="A47" s="6" t="s">
        <v>146</v>
      </c>
      <c r="B47" s="6" t="s">
        <v>172</v>
      </c>
      <c r="C47" s="6" t="s">
        <v>173</v>
      </c>
      <c r="D47" s="6" t="s">
        <v>197</v>
      </c>
      <c r="E47" s="6" t="s">
        <v>198</v>
      </c>
      <c r="F47" s="6" t="s">
        <v>199</v>
      </c>
      <c r="G47" s="6" t="s">
        <v>177</v>
      </c>
      <c r="H47" s="7">
        <v>1</v>
      </c>
      <c r="I47" s="7" t="s">
        <v>33</v>
      </c>
      <c r="J47" s="6" t="s">
        <v>178</v>
      </c>
    </row>
    <row r="48" spans="1:10" ht="60" customHeight="1" x14ac:dyDescent="0.3">
      <c r="A48" s="6" t="s">
        <v>146</v>
      </c>
      <c r="B48" s="6" t="s">
        <v>172</v>
      </c>
      <c r="C48" s="6" t="s">
        <v>173</v>
      </c>
      <c r="D48" s="6" t="s">
        <v>200</v>
      </c>
      <c r="E48" s="6" t="s">
        <v>201</v>
      </c>
      <c r="F48" s="6" t="s">
        <v>202</v>
      </c>
      <c r="G48" s="6" t="s">
        <v>177</v>
      </c>
      <c r="H48" s="7">
        <v>1</v>
      </c>
      <c r="I48" s="7" t="s">
        <v>33</v>
      </c>
      <c r="J48" s="6" t="s">
        <v>178</v>
      </c>
    </row>
    <row r="49" spans="1:10" ht="60" customHeight="1" x14ac:dyDescent="0.3">
      <c r="A49" s="6" t="s">
        <v>146</v>
      </c>
      <c r="B49" s="6" t="s">
        <v>172</v>
      </c>
      <c r="C49" s="6" t="s">
        <v>173</v>
      </c>
      <c r="D49" s="6" t="s">
        <v>203</v>
      </c>
      <c r="E49" s="6" t="s">
        <v>204</v>
      </c>
      <c r="F49" s="6" t="s">
        <v>205</v>
      </c>
      <c r="G49" s="6" t="s">
        <v>177</v>
      </c>
      <c r="H49" s="7">
        <v>1</v>
      </c>
      <c r="I49" s="7" t="s">
        <v>33</v>
      </c>
      <c r="J49" s="6" t="s">
        <v>178</v>
      </c>
    </row>
    <row r="50" spans="1:10" ht="60" customHeight="1" x14ac:dyDescent="0.3">
      <c r="A50" s="6" t="s">
        <v>146</v>
      </c>
      <c r="B50" s="6" t="s">
        <v>206</v>
      </c>
      <c r="C50" s="6" t="s">
        <v>207</v>
      </c>
      <c r="D50" s="6" t="s">
        <v>208</v>
      </c>
      <c r="E50" s="6" t="s">
        <v>209</v>
      </c>
      <c r="F50" s="6" t="s">
        <v>210</v>
      </c>
      <c r="G50" s="6" t="s">
        <v>211</v>
      </c>
      <c r="H50" s="9">
        <v>0</v>
      </c>
      <c r="I50" s="8" t="s">
        <v>112</v>
      </c>
      <c r="J50" s="6" t="s">
        <v>212</v>
      </c>
    </row>
    <row r="51" spans="1:10" ht="60" customHeight="1" x14ac:dyDescent="0.3">
      <c r="A51" s="6" t="s">
        <v>146</v>
      </c>
      <c r="B51" s="6" t="s">
        <v>206</v>
      </c>
      <c r="C51" s="6" t="s">
        <v>207</v>
      </c>
      <c r="D51" s="6" t="s">
        <v>213</v>
      </c>
      <c r="E51" s="6" t="s">
        <v>214</v>
      </c>
      <c r="F51" s="6" t="s">
        <v>215</v>
      </c>
      <c r="G51" s="6" t="s">
        <v>211</v>
      </c>
      <c r="H51" s="9">
        <v>0</v>
      </c>
      <c r="I51" s="8" t="s">
        <v>112</v>
      </c>
      <c r="J51" s="6" t="s">
        <v>212</v>
      </c>
    </row>
    <row r="52" spans="1:10" ht="60" customHeight="1" x14ac:dyDescent="0.3">
      <c r="A52" s="6" t="s">
        <v>146</v>
      </c>
      <c r="B52" s="6" t="s">
        <v>206</v>
      </c>
      <c r="C52" s="6" t="s">
        <v>207</v>
      </c>
      <c r="D52" s="6" t="s">
        <v>216</v>
      </c>
      <c r="E52" s="6" t="s">
        <v>217</v>
      </c>
      <c r="F52" s="6" t="s">
        <v>218</v>
      </c>
      <c r="G52" s="6" t="s">
        <v>211</v>
      </c>
      <c r="H52" s="9">
        <v>0</v>
      </c>
      <c r="I52" s="8" t="s">
        <v>112</v>
      </c>
      <c r="J52" s="6" t="s">
        <v>212</v>
      </c>
    </row>
    <row r="53" spans="1:10" ht="60" customHeight="1" x14ac:dyDescent="0.3">
      <c r="A53" s="6" t="s">
        <v>146</v>
      </c>
      <c r="B53" s="6" t="s">
        <v>206</v>
      </c>
      <c r="C53" s="6" t="s">
        <v>207</v>
      </c>
      <c r="D53" s="6" t="s">
        <v>219</v>
      </c>
      <c r="E53" s="6" t="s">
        <v>220</v>
      </c>
      <c r="F53" s="6" t="s">
        <v>221</v>
      </c>
      <c r="G53" s="6" t="s">
        <v>211</v>
      </c>
      <c r="H53" s="9">
        <v>0</v>
      </c>
      <c r="I53" s="8" t="s">
        <v>112</v>
      </c>
      <c r="J53" s="6" t="s">
        <v>212</v>
      </c>
    </row>
    <row r="54" spans="1:10" ht="60" customHeight="1" x14ac:dyDescent="0.3">
      <c r="A54" s="6" t="s">
        <v>222</v>
      </c>
      <c r="B54" s="6" t="s">
        <v>223</v>
      </c>
      <c r="C54" s="6" t="s">
        <v>224</v>
      </c>
      <c r="D54" s="6" t="s">
        <v>225</v>
      </c>
      <c r="E54" s="6" t="s">
        <v>226</v>
      </c>
      <c r="F54" s="6" t="s">
        <v>227</v>
      </c>
      <c r="G54" s="6" t="s">
        <v>228</v>
      </c>
      <c r="H54" s="8">
        <v>2</v>
      </c>
      <c r="I54" s="7" t="s">
        <v>33</v>
      </c>
      <c r="J54" s="6" t="s">
        <v>229</v>
      </c>
    </row>
    <row r="55" spans="1:10" ht="60" customHeight="1" x14ac:dyDescent="0.3">
      <c r="A55" s="6" t="s">
        <v>222</v>
      </c>
      <c r="B55" s="6" t="s">
        <v>223</v>
      </c>
      <c r="C55" s="6" t="s">
        <v>224</v>
      </c>
      <c r="D55" s="6" t="s">
        <v>230</v>
      </c>
      <c r="E55" s="6" t="s">
        <v>231</v>
      </c>
      <c r="F55" s="6" t="s">
        <v>232</v>
      </c>
      <c r="G55" s="6" t="s">
        <v>228</v>
      </c>
      <c r="H55" s="8">
        <v>2</v>
      </c>
      <c r="I55" s="7" t="s">
        <v>33</v>
      </c>
      <c r="J55" s="6" t="s">
        <v>229</v>
      </c>
    </row>
    <row r="56" spans="1:10" ht="60" customHeight="1" x14ac:dyDescent="0.3">
      <c r="A56" s="6" t="s">
        <v>222</v>
      </c>
      <c r="B56" s="6" t="s">
        <v>223</v>
      </c>
      <c r="C56" s="6" t="s">
        <v>224</v>
      </c>
      <c r="D56" s="6" t="s">
        <v>233</v>
      </c>
      <c r="E56" s="6" t="s">
        <v>234</v>
      </c>
      <c r="F56" s="6" t="s">
        <v>235</v>
      </c>
      <c r="G56" s="6" t="s">
        <v>228</v>
      </c>
      <c r="H56" s="10">
        <v>3</v>
      </c>
      <c r="I56" s="7" t="s">
        <v>33</v>
      </c>
      <c r="J56" s="6" t="s">
        <v>229</v>
      </c>
    </row>
    <row r="57" spans="1:10" ht="60" customHeight="1" x14ac:dyDescent="0.3">
      <c r="A57" s="6" t="s">
        <v>222</v>
      </c>
      <c r="B57" s="6" t="s">
        <v>223</v>
      </c>
      <c r="C57" s="6" t="s">
        <v>224</v>
      </c>
      <c r="D57" s="6" t="s">
        <v>236</v>
      </c>
      <c r="E57" s="6" t="s">
        <v>237</v>
      </c>
      <c r="F57" s="6" t="s">
        <v>238</v>
      </c>
      <c r="G57" s="6" t="s">
        <v>228</v>
      </c>
      <c r="H57" s="8">
        <v>2</v>
      </c>
      <c r="I57" s="7" t="s">
        <v>33</v>
      </c>
      <c r="J57" s="6" t="s">
        <v>229</v>
      </c>
    </row>
    <row r="58" spans="1:10" ht="60" customHeight="1" x14ac:dyDescent="0.3">
      <c r="A58" s="6" t="s">
        <v>222</v>
      </c>
      <c r="B58" s="6" t="s">
        <v>223</v>
      </c>
      <c r="C58" s="6" t="s">
        <v>224</v>
      </c>
      <c r="D58" s="6" t="s">
        <v>239</v>
      </c>
      <c r="E58" s="6" t="s">
        <v>240</v>
      </c>
      <c r="F58" s="6" t="s">
        <v>241</v>
      </c>
      <c r="G58" s="6" t="s">
        <v>228</v>
      </c>
      <c r="H58" s="8">
        <v>2</v>
      </c>
      <c r="I58" s="7" t="s">
        <v>33</v>
      </c>
      <c r="J58" s="6" t="s">
        <v>229</v>
      </c>
    </row>
    <row r="59" spans="1:10" ht="60" customHeight="1" x14ac:dyDescent="0.3">
      <c r="A59" s="6" t="s">
        <v>222</v>
      </c>
      <c r="B59" s="6" t="s">
        <v>223</v>
      </c>
      <c r="C59" s="6" t="s">
        <v>224</v>
      </c>
      <c r="D59" s="6" t="s">
        <v>242</v>
      </c>
      <c r="E59" s="6" t="s">
        <v>243</v>
      </c>
      <c r="F59" s="6" t="s">
        <v>244</v>
      </c>
      <c r="G59" s="6" t="s">
        <v>228</v>
      </c>
      <c r="H59" s="8">
        <v>2</v>
      </c>
      <c r="I59" s="7" t="s">
        <v>33</v>
      </c>
      <c r="J59" s="6" t="s">
        <v>229</v>
      </c>
    </row>
    <row r="60" spans="1:10" ht="60" customHeight="1" x14ac:dyDescent="0.3">
      <c r="A60" s="6" t="s">
        <v>222</v>
      </c>
      <c r="B60" s="6" t="s">
        <v>245</v>
      </c>
      <c r="C60" s="6" t="s">
        <v>246</v>
      </c>
      <c r="D60" s="6" t="s">
        <v>247</v>
      </c>
      <c r="E60" s="6" t="s">
        <v>248</v>
      </c>
      <c r="F60" s="6" t="s">
        <v>249</v>
      </c>
      <c r="G60" s="6" t="s">
        <v>250</v>
      </c>
      <c r="H60" s="9">
        <v>0</v>
      </c>
      <c r="I60" s="7" t="s">
        <v>33</v>
      </c>
      <c r="J60" s="6" t="s">
        <v>251</v>
      </c>
    </row>
    <row r="61" spans="1:10" ht="60" customHeight="1" x14ac:dyDescent="0.3">
      <c r="A61" s="6" t="s">
        <v>222</v>
      </c>
      <c r="B61" s="6" t="s">
        <v>245</v>
      </c>
      <c r="C61" s="6" t="s">
        <v>246</v>
      </c>
      <c r="D61" s="6" t="s">
        <v>252</v>
      </c>
      <c r="E61" s="6" t="s">
        <v>253</v>
      </c>
      <c r="F61" s="6" t="s">
        <v>254</v>
      </c>
      <c r="G61" s="6" t="s">
        <v>250</v>
      </c>
      <c r="H61" s="9">
        <v>0</v>
      </c>
      <c r="I61" s="7" t="s">
        <v>33</v>
      </c>
      <c r="J61" s="6" t="s">
        <v>251</v>
      </c>
    </row>
    <row r="62" spans="1:10" ht="60" customHeight="1" x14ac:dyDescent="0.3">
      <c r="A62" s="6" t="s">
        <v>222</v>
      </c>
      <c r="B62" s="6" t="s">
        <v>255</v>
      </c>
      <c r="C62" s="6" t="s">
        <v>256</v>
      </c>
      <c r="D62" s="6" t="s">
        <v>257</v>
      </c>
      <c r="E62" s="6" t="s">
        <v>258</v>
      </c>
      <c r="F62" s="6" t="s">
        <v>259</v>
      </c>
      <c r="G62" s="6" t="s">
        <v>260</v>
      </c>
      <c r="H62" s="8">
        <v>2</v>
      </c>
      <c r="I62" s="7" t="s">
        <v>33</v>
      </c>
      <c r="J62" s="6" t="s">
        <v>261</v>
      </c>
    </row>
    <row r="63" spans="1:10" ht="60" customHeight="1" x14ac:dyDescent="0.3">
      <c r="A63" s="6" t="s">
        <v>222</v>
      </c>
      <c r="B63" s="6" t="s">
        <v>255</v>
      </c>
      <c r="C63" s="6" t="s">
        <v>256</v>
      </c>
      <c r="D63" s="6" t="s">
        <v>262</v>
      </c>
      <c r="E63" s="6" t="s">
        <v>263</v>
      </c>
      <c r="F63" s="6" t="s">
        <v>264</v>
      </c>
      <c r="G63" s="6" t="s">
        <v>260</v>
      </c>
      <c r="H63" s="8">
        <v>2</v>
      </c>
      <c r="I63" s="7" t="s">
        <v>33</v>
      </c>
      <c r="J63" s="6" t="s">
        <v>261</v>
      </c>
    </row>
    <row r="64" spans="1:10" ht="60" customHeight="1" x14ac:dyDescent="0.3">
      <c r="A64" s="6" t="s">
        <v>222</v>
      </c>
      <c r="B64" s="6" t="s">
        <v>255</v>
      </c>
      <c r="C64" s="6" t="s">
        <v>256</v>
      </c>
      <c r="D64" s="6" t="s">
        <v>265</v>
      </c>
      <c r="E64" s="6" t="s">
        <v>266</v>
      </c>
      <c r="F64" s="6" t="s">
        <v>267</v>
      </c>
      <c r="G64" s="6" t="s">
        <v>260</v>
      </c>
      <c r="H64" s="8">
        <v>2</v>
      </c>
      <c r="I64" s="7" t="s">
        <v>33</v>
      </c>
      <c r="J64" s="6" t="s">
        <v>261</v>
      </c>
    </row>
    <row r="65" spans="1:10" ht="60" customHeight="1" x14ac:dyDescent="0.3">
      <c r="A65" s="6" t="s">
        <v>222</v>
      </c>
      <c r="B65" s="6" t="s">
        <v>255</v>
      </c>
      <c r="C65" s="6" t="s">
        <v>256</v>
      </c>
      <c r="D65" s="6" t="s">
        <v>268</v>
      </c>
      <c r="E65" s="6" t="s">
        <v>269</v>
      </c>
      <c r="F65" s="6" t="s">
        <v>270</v>
      </c>
      <c r="G65" s="6" t="s">
        <v>260</v>
      </c>
      <c r="H65" s="7">
        <v>1</v>
      </c>
      <c r="I65" s="7" t="s">
        <v>33</v>
      </c>
      <c r="J65" s="6" t="s">
        <v>261</v>
      </c>
    </row>
    <row r="66" spans="1:10" ht="60" customHeight="1" x14ac:dyDescent="0.3">
      <c r="A66" s="6" t="s">
        <v>222</v>
      </c>
      <c r="B66" s="6" t="s">
        <v>271</v>
      </c>
      <c r="C66" s="6" t="s">
        <v>272</v>
      </c>
      <c r="D66" s="6" t="s">
        <v>273</v>
      </c>
      <c r="E66" s="6" t="s">
        <v>274</v>
      </c>
      <c r="F66" s="6" t="s">
        <v>275</v>
      </c>
      <c r="G66" s="6" t="s">
        <v>276</v>
      </c>
      <c r="H66" s="8">
        <v>2</v>
      </c>
      <c r="I66" s="8" t="s">
        <v>112</v>
      </c>
      <c r="J66" s="6" t="s">
        <v>277</v>
      </c>
    </row>
    <row r="67" spans="1:10" ht="60" customHeight="1" x14ac:dyDescent="0.3">
      <c r="A67" s="6" t="s">
        <v>222</v>
      </c>
      <c r="B67" s="6" t="s">
        <v>271</v>
      </c>
      <c r="C67" s="6" t="s">
        <v>272</v>
      </c>
      <c r="D67" s="6" t="s">
        <v>278</v>
      </c>
      <c r="E67" s="6" t="s">
        <v>279</v>
      </c>
      <c r="F67" s="6" t="s">
        <v>280</v>
      </c>
      <c r="G67" s="6" t="s">
        <v>276</v>
      </c>
      <c r="H67" s="8">
        <v>2</v>
      </c>
      <c r="I67" s="8" t="s">
        <v>112</v>
      </c>
      <c r="J67" s="6" t="s">
        <v>277</v>
      </c>
    </row>
    <row r="68" spans="1:10" ht="60" customHeight="1" x14ac:dyDescent="0.3">
      <c r="A68" s="6" t="s">
        <v>222</v>
      </c>
      <c r="B68" s="6" t="s">
        <v>271</v>
      </c>
      <c r="C68" s="6" t="s">
        <v>272</v>
      </c>
      <c r="D68" s="6" t="s">
        <v>281</v>
      </c>
      <c r="E68" s="6" t="s">
        <v>282</v>
      </c>
      <c r="F68" s="6" t="s">
        <v>283</v>
      </c>
      <c r="G68" s="6" t="s">
        <v>276</v>
      </c>
      <c r="H68" s="8">
        <v>2</v>
      </c>
      <c r="I68" s="8" t="s">
        <v>112</v>
      </c>
      <c r="J68" s="6" t="s">
        <v>277</v>
      </c>
    </row>
    <row r="69" spans="1:10" ht="60" customHeight="1" x14ac:dyDescent="0.3">
      <c r="A69" s="6" t="s">
        <v>222</v>
      </c>
      <c r="B69" s="6" t="s">
        <v>271</v>
      </c>
      <c r="C69" s="6" t="s">
        <v>272</v>
      </c>
      <c r="D69" s="6" t="s">
        <v>284</v>
      </c>
      <c r="E69" s="6" t="s">
        <v>285</v>
      </c>
      <c r="F69" s="6" t="s">
        <v>286</v>
      </c>
      <c r="G69" s="6" t="s">
        <v>276</v>
      </c>
      <c r="H69" s="10">
        <v>3</v>
      </c>
      <c r="I69" s="8" t="s">
        <v>112</v>
      </c>
      <c r="J69" s="6" t="s">
        <v>277</v>
      </c>
    </row>
    <row r="70" spans="1:10" ht="60" customHeight="1" x14ac:dyDescent="0.3">
      <c r="A70" s="6" t="s">
        <v>222</v>
      </c>
      <c r="B70" s="6" t="s">
        <v>271</v>
      </c>
      <c r="C70" s="6" t="s">
        <v>272</v>
      </c>
      <c r="D70" s="6" t="s">
        <v>287</v>
      </c>
      <c r="E70" s="6" t="s">
        <v>288</v>
      </c>
      <c r="F70" s="6" t="s">
        <v>289</v>
      </c>
      <c r="G70" s="6" t="s">
        <v>276</v>
      </c>
      <c r="H70" s="8">
        <v>2</v>
      </c>
      <c r="I70" s="8" t="s">
        <v>112</v>
      </c>
      <c r="J70" s="6" t="s">
        <v>277</v>
      </c>
    </row>
    <row r="71" spans="1:10" ht="60" customHeight="1" x14ac:dyDescent="0.3">
      <c r="A71" s="6" t="s">
        <v>222</v>
      </c>
      <c r="B71" s="6" t="s">
        <v>271</v>
      </c>
      <c r="C71" s="6" t="s">
        <v>272</v>
      </c>
      <c r="D71" s="6" t="s">
        <v>290</v>
      </c>
      <c r="E71" s="6" t="s">
        <v>291</v>
      </c>
      <c r="F71" s="6" t="s">
        <v>292</v>
      </c>
      <c r="G71" s="6" t="s">
        <v>276</v>
      </c>
      <c r="H71" s="8">
        <v>2</v>
      </c>
      <c r="I71" s="8" t="s">
        <v>112</v>
      </c>
      <c r="J71" s="6" t="s">
        <v>277</v>
      </c>
    </row>
    <row r="72" spans="1:10" ht="60" customHeight="1" x14ac:dyDescent="0.3">
      <c r="A72" s="6" t="s">
        <v>222</v>
      </c>
      <c r="B72" s="6" t="s">
        <v>293</v>
      </c>
      <c r="C72" s="6" t="s">
        <v>294</v>
      </c>
      <c r="D72" s="6" t="s">
        <v>295</v>
      </c>
      <c r="E72" s="6" t="s">
        <v>296</v>
      </c>
      <c r="F72" s="6" t="s">
        <v>297</v>
      </c>
      <c r="G72" s="6" t="s">
        <v>298</v>
      </c>
      <c r="H72" s="8">
        <v>2</v>
      </c>
      <c r="I72" s="8" t="s">
        <v>112</v>
      </c>
      <c r="J72" s="6" t="s">
        <v>299</v>
      </c>
    </row>
    <row r="73" spans="1:10" ht="60" customHeight="1" x14ac:dyDescent="0.3">
      <c r="A73" s="6" t="s">
        <v>222</v>
      </c>
      <c r="B73" s="6" t="s">
        <v>293</v>
      </c>
      <c r="C73" s="6" t="s">
        <v>294</v>
      </c>
      <c r="D73" s="6" t="s">
        <v>300</v>
      </c>
      <c r="E73" s="6" t="s">
        <v>301</v>
      </c>
      <c r="F73" s="6" t="s">
        <v>302</v>
      </c>
      <c r="G73" s="6" t="s">
        <v>298</v>
      </c>
      <c r="H73" s="8">
        <v>2</v>
      </c>
      <c r="I73" s="8" t="s">
        <v>112</v>
      </c>
      <c r="J73" s="6" t="s">
        <v>299</v>
      </c>
    </row>
    <row r="74" spans="1:10" ht="60" customHeight="1" x14ac:dyDescent="0.3">
      <c r="A74" s="6" t="s">
        <v>222</v>
      </c>
      <c r="B74" s="6" t="s">
        <v>293</v>
      </c>
      <c r="C74" s="6" t="s">
        <v>294</v>
      </c>
      <c r="D74" s="6" t="s">
        <v>303</v>
      </c>
      <c r="E74" s="6" t="s">
        <v>304</v>
      </c>
      <c r="F74" s="6" t="s">
        <v>305</v>
      </c>
      <c r="G74" s="6" t="s">
        <v>298</v>
      </c>
      <c r="H74" s="8">
        <v>2</v>
      </c>
      <c r="I74" s="8" t="s">
        <v>112</v>
      </c>
      <c r="J74" s="6" t="s">
        <v>299</v>
      </c>
    </row>
    <row r="75" spans="1:10" ht="60" customHeight="1" x14ac:dyDescent="0.3">
      <c r="A75" s="6" t="s">
        <v>222</v>
      </c>
      <c r="B75" s="6" t="s">
        <v>293</v>
      </c>
      <c r="C75" s="6" t="s">
        <v>294</v>
      </c>
      <c r="D75" s="6" t="s">
        <v>306</v>
      </c>
      <c r="E75" s="6" t="s">
        <v>307</v>
      </c>
      <c r="F75" s="6" t="s">
        <v>308</v>
      </c>
      <c r="G75" s="6" t="s">
        <v>298</v>
      </c>
      <c r="H75" s="8">
        <v>2</v>
      </c>
      <c r="I75" s="8" t="s">
        <v>112</v>
      </c>
      <c r="J75" s="6" t="s">
        <v>299</v>
      </c>
    </row>
    <row r="76" spans="1:10" ht="60" customHeight="1" x14ac:dyDescent="0.3">
      <c r="A76" s="6" t="s">
        <v>309</v>
      </c>
      <c r="B76" s="6" t="s">
        <v>310</v>
      </c>
      <c r="C76" s="6" t="s">
        <v>311</v>
      </c>
      <c r="D76" s="6" t="s">
        <v>312</v>
      </c>
      <c r="E76" s="6" t="s">
        <v>313</v>
      </c>
      <c r="F76" s="6" t="s">
        <v>314</v>
      </c>
      <c r="G76" s="6" t="s">
        <v>315</v>
      </c>
      <c r="H76" s="7">
        <v>1</v>
      </c>
      <c r="I76" s="7" t="s">
        <v>33</v>
      </c>
      <c r="J76" s="6" t="s">
        <v>316</v>
      </c>
    </row>
    <row r="77" spans="1:10" ht="60" customHeight="1" x14ac:dyDescent="0.3">
      <c r="A77" s="6" t="s">
        <v>309</v>
      </c>
      <c r="B77" s="6" t="s">
        <v>310</v>
      </c>
      <c r="C77" s="6" t="s">
        <v>311</v>
      </c>
      <c r="D77" s="6" t="s">
        <v>317</v>
      </c>
      <c r="E77" s="6" t="s">
        <v>318</v>
      </c>
      <c r="F77" s="6" t="s">
        <v>319</v>
      </c>
      <c r="G77" s="6" t="s">
        <v>315</v>
      </c>
      <c r="H77" s="7">
        <v>1</v>
      </c>
      <c r="I77" s="7" t="s">
        <v>33</v>
      </c>
      <c r="J77" s="6" t="s">
        <v>316</v>
      </c>
    </row>
    <row r="78" spans="1:10" ht="60" customHeight="1" x14ac:dyDescent="0.3">
      <c r="A78" s="6" t="s">
        <v>309</v>
      </c>
      <c r="B78" s="6" t="s">
        <v>310</v>
      </c>
      <c r="C78" s="6" t="s">
        <v>311</v>
      </c>
      <c r="D78" s="6" t="s">
        <v>320</v>
      </c>
      <c r="E78" s="6" t="s">
        <v>321</v>
      </c>
      <c r="F78" s="6" t="s">
        <v>322</v>
      </c>
      <c r="G78" s="6" t="s">
        <v>315</v>
      </c>
      <c r="H78" s="7">
        <v>1</v>
      </c>
      <c r="I78" s="7" t="s">
        <v>33</v>
      </c>
      <c r="J78" s="6" t="s">
        <v>316</v>
      </c>
    </row>
    <row r="79" spans="1:10" ht="60" customHeight="1" x14ac:dyDescent="0.3">
      <c r="A79" s="6" t="s">
        <v>309</v>
      </c>
      <c r="B79" s="6" t="s">
        <v>310</v>
      </c>
      <c r="C79" s="6" t="s">
        <v>311</v>
      </c>
      <c r="D79" s="6" t="s">
        <v>323</v>
      </c>
      <c r="E79" s="6" t="s">
        <v>324</v>
      </c>
      <c r="F79" s="6" t="s">
        <v>325</v>
      </c>
      <c r="G79" s="6" t="s">
        <v>315</v>
      </c>
      <c r="H79" s="7">
        <v>1</v>
      </c>
      <c r="I79" s="7" t="s">
        <v>33</v>
      </c>
      <c r="J79" s="6" t="s">
        <v>316</v>
      </c>
    </row>
    <row r="80" spans="1:10" ht="60" customHeight="1" x14ac:dyDescent="0.3">
      <c r="A80" s="6" t="s">
        <v>309</v>
      </c>
      <c r="B80" s="6" t="s">
        <v>310</v>
      </c>
      <c r="C80" s="6" t="s">
        <v>311</v>
      </c>
      <c r="D80" s="6" t="s">
        <v>326</v>
      </c>
      <c r="E80" s="6" t="s">
        <v>327</v>
      </c>
      <c r="F80" s="6" t="s">
        <v>328</v>
      </c>
      <c r="G80" s="6" t="s">
        <v>315</v>
      </c>
      <c r="H80" s="7">
        <v>1</v>
      </c>
      <c r="I80" s="7" t="s">
        <v>33</v>
      </c>
      <c r="J80" s="6" t="s">
        <v>316</v>
      </c>
    </row>
    <row r="81" spans="1:10" ht="60" customHeight="1" x14ac:dyDescent="0.3">
      <c r="A81" s="6" t="s">
        <v>309</v>
      </c>
      <c r="B81" s="6" t="s">
        <v>329</v>
      </c>
      <c r="C81" s="6" t="s">
        <v>330</v>
      </c>
      <c r="D81" s="6" t="s">
        <v>331</v>
      </c>
      <c r="E81" s="6" t="s">
        <v>332</v>
      </c>
      <c r="F81" s="6" t="s">
        <v>333</v>
      </c>
      <c r="G81" s="6" t="s">
        <v>334</v>
      </c>
      <c r="H81" s="9">
        <v>0</v>
      </c>
      <c r="I81" s="7" t="s">
        <v>33</v>
      </c>
      <c r="J81" s="6" t="s">
        <v>335</v>
      </c>
    </row>
    <row r="82" spans="1:10" ht="60" customHeight="1" x14ac:dyDescent="0.3">
      <c r="A82" s="6" t="s">
        <v>309</v>
      </c>
      <c r="B82" s="6" t="s">
        <v>329</v>
      </c>
      <c r="C82" s="6" t="s">
        <v>330</v>
      </c>
      <c r="D82" s="6" t="s">
        <v>336</v>
      </c>
      <c r="E82" s="6" t="s">
        <v>337</v>
      </c>
      <c r="F82" s="6" t="s">
        <v>338</v>
      </c>
      <c r="G82" s="6" t="s">
        <v>334</v>
      </c>
      <c r="H82" s="9">
        <v>0</v>
      </c>
      <c r="I82" s="7" t="s">
        <v>33</v>
      </c>
      <c r="J82" s="6" t="s">
        <v>335</v>
      </c>
    </row>
    <row r="83" spans="1:10" ht="60" customHeight="1" x14ac:dyDescent="0.3">
      <c r="A83" s="6" t="s">
        <v>309</v>
      </c>
      <c r="B83" s="6" t="s">
        <v>329</v>
      </c>
      <c r="C83" s="6" t="s">
        <v>330</v>
      </c>
      <c r="D83" s="6" t="s">
        <v>339</v>
      </c>
      <c r="E83" s="6" t="s">
        <v>340</v>
      </c>
      <c r="F83" s="6" t="s">
        <v>341</v>
      </c>
      <c r="G83" s="6" t="s">
        <v>334</v>
      </c>
      <c r="H83" s="9">
        <v>0</v>
      </c>
      <c r="I83" s="7" t="s">
        <v>33</v>
      </c>
      <c r="J83" s="6" t="s">
        <v>335</v>
      </c>
    </row>
    <row r="84" spans="1:10" ht="60" customHeight="1" x14ac:dyDescent="0.3">
      <c r="A84" s="6" t="s">
        <v>309</v>
      </c>
      <c r="B84" s="6" t="s">
        <v>329</v>
      </c>
      <c r="C84" s="6" t="s">
        <v>330</v>
      </c>
      <c r="D84" s="6" t="s">
        <v>342</v>
      </c>
      <c r="E84" s="6" t="s">
        <v>343</v>
      </c>
      <c r="F84" s="6" t="s">
        <v>344</v>
      </c>
      <c r="G84" s="6" t="s">
        <v>334</v>
      </c>
      <c r="H84" s="9">
        <v>0</v>
      </c>
      <c r="I84" s="7" t="s">
        <v>33</v>
      </c>
      <c r="J84" s="6" t="s">
        <v>335</v>
      </c>
    </row>
    <row r="85" spans="1:10" ht="60" customHeight="1" x14ac:dyDescent="0.3">
      <c r="A85" s="6" t="s">
        <v>309</v>
      </c>
      <c r="B85" s="6" t="s">
        <v>329</v>
      </c>
      <c r="C85" s="6" t="s">
        <v>330</v>
      </c>
      <c r="D85" s="6" t="s">
        <v>345</v>
      </c>
      <c r="E85" s="6" t="s">
        <v>346</v>
      </c>
      <c r="F85" s="6" t="s">
        <v>347</v>
      </c>
      <c r="G85" s="6" t="s">
        <v>334</v>
      </c>
      <c r="H85" s="9">
        <v>0</v>
      </c>
      <c r="I85" s="7" t="s">
        <v>33</v>
      </c>
      <c r="J85" s="6" t="s">
        <v>335</v>
      </c>
    </row>
    <row r="86" spans="1:10" ht="60" customHeight="1" x14ac:dyDescent="0.3">
      <c r="A86" s="6" t="s">
        <v>309</v>
      </c>
      <c r="B86" s="6" t="s">
        <v>329</v>
      </c>
      <c r="C86" s="6" t="s">
        <v>330</v>
      </c>
      <c r="D86" s="6" t="s">
        <v>348</v>
      </c>
      <c r="E86" s="6" t="s">
        <v>349</v>
      </c>
      <c r="F86" s="6" t="s">
        <v>350</v>
      </c>
      <c r="G86" s="6" t="s">
        <v>334</v>
      </c>
      <c r="H86" s="9">
        <v>0</v>
      </c>
      <c r="I86" s="7" t="s">
        <v>33</v>
      </c>
      <c r="J86" s="6" t="s">
        <v>335</v>
      </c>
    </row>
    <row r="87" spans="1:10" ht="60" customHeight="1" x14ac:dyDescent="0.3">
      <c r="A87" s="6" t="s">
        <v>351</v>
      </c>
      <c r="B87" s="6" t="s">
        <v>352</v>
      </c>
      <c r="C87" s="6" t="s">
        <v>353</v>
      </c>
      <c r="D87" s="6" t="s">
        <v>354</v>
      </c>
      <c r="E87" s="6" t="s">
        <v>355</v>
      </c>
      <c r="F87" s="6" t="s">
        <v>356</v>
      </c>
      <c r="G87" s="6" t="s">
        <v>357</v>
      </c>
      <c r="H87" s="7">
        <v>1</v>
      </c>
      <c r="I87" s="7" t="s">
        <v>33</v>
      </c>
      <c r="J87" s="6" t="s">
        <v>358</v>
      </c>
    </row>
    <row r="88" spans="1:10" ht="60" customHeight="1" x14ac:dyDescent="0.3">
      <c r="A88" s="6" t="s">
        <v>351</v>
      </c>
      <c r="B88" s="6" t="s">
        <v>352</v>
      </c>
      <c r="C88" s="6" t="s">
        <v>353</v>
      </c>
      <c r="D88" s="6" t="s">
        <v>359</v>
      </c>
      <c r="E88" s="6" t="s">
        <v>360</v>
      </c>
      <c r="F88" s="6" t="s">
        <v>361</v>
      </c>
      <c r="G88" s="6" t="s">
        <v>357</v>
      </c>
      <c r="H88" s="7">
        <v>1</v>
      </c>
      <c r="I88" s="7" t="s">
        <v>33</v>
      </c>
      <c r="J88" s="6" t="s">
        <v>358</v>
      </c>
    </row>
    <row r="89" spans="1:10" ht="60" customHeight="1" x14ac:dyDescent="0.3">
      <c r="A89" s="6" t="s">
        <v>351</v>
      </c>
      <c r="B89" s="6" t="s">
        <v>352</v>
      </c>
      <c r="C89" s="6" t="s">
        <v>353</v>
      </c>
      <c r="D89" s="6" t="s">
        <v>362</v>
      </c>
      <c r="E89" s="6" t="s">
        <v>363</v>
      </c>
      <c r="F89" s="6" t="s">
        <v>364</v>
      </c>
      <c r="G89" s="6" t="s">
        <v>357</v>
      </c>
      <c r="H89" s="7">
        <v>1</v>
      </c>
      <c r="I89" s="7" t="s">
        <v>33</v>
      </c>
      <c r="J89" s="6" t="s">
        <v>358</v>
      </c>
    </row>
    <row r="90" spans="1:10" ht="60" customHeight="1" x14ac:dyDescent="0.3">
      <c r="A90" s="6" t="s">
        <v>351</v>
      </c>
      <c r="B90" s="6" t="s">
        <v>352</v>
      </c>
      <c r="C90" s="6" t="s">
        <v>353</v>
      </c>
      <c r="D90" s="6" t="s">
        <v>365</v>
      </c>
      <c r="E90" s="6" t="s">
        <v>366</v>
      </c>
      <c r="F90" s="6" t="s">
        <v>367</v>
      </c>
      <c r="G90" s="6" t="s">
        <v>357</v>
      </c>
      <c r="H90" s="7">
        <v>1</v>
      </c>
      <c r="I90" s="7" t="s">
        <v>33</v>
      </c>
      <c r="J90" s="6" t="s">
        <v>358</v>
      </c>
    </row>
    <row r="91" spans="1:10" ht="60" customHeight="1" x14ac:dyDescent="0.3">
      <c r="A91" s="6" t="s">
        <v>351</v>
      </c>
      <c r="B91" s="6" t="s">
        <v>352</v>
      </c>
      <c r="C91" s="6" t="s">
        <v>353</v>
      </c>
      <c r="D91" s="6" t="s">
        <v>368</v>
      </c>
      <c r="E91" s="6" t="s">
        <v>369</v>
      </c>
      <c r="F91" s="6" t="s">
        <v>370</v>
      </c>
      <c r="G91" s="6" t="s">
        <v>357</v>
      </c>
      <c r="H91" s="7">
        <v>1</v>
      </c>
      <c r="I91" s="7" t="s">
        <v>33</v>
      </c>
      <c r="J91" s="6" t="s">
        <v>358</v>
      </c>
    </row>
    <row r="92" spans="1:10" ht="60" customHeight="1" x14ac:dyDescent="0.3">
      <c r="A92" s="6" t="s">
        <v>351</v>
      </c>
      <c r="B92" s="6" t="s">
        <v>371</v>
      </c>
      <c r="C92" s="6" t="s">
        <v>372</v>
      </c>
      <c r="D92" s="6" t="s">
        <v>373</v>
      </c>
      <c r="E92" s="6" t="s">
        <v>374</v>
      </c>
      <c r="F92" s="6" t="s">
        <v>375</v>
      </c>
      <c r="G92" s="6" t="s">
        <v>376</v>
      </c>
      <c r="H92" s="9">
        <v>0</v>
      </c>
      <c r="I92" s="8" t="s">
        <v>112</v>
      </c>
      <c r="J92" s="6" t="s">
        <v>377</v>
      </c>
    </row>
    <row r="93" spans="1:10" ht="60" customHeight="1" x14ac:dyDescent="0.3">
      <c r="A93" s="6" t="s">
        <v>351</v>
      </c>
      <c r="B93" s="6" t="s">
        <v>371</v>
      </c>
      <c r="C93" s="6" t="s">
        <v>372</v>
      </c>
      <c r="D93" s="6" t="s">
        <v>378</v>
      </c>
      <c r="E93" s="6" t="s">
        <v>379</v>
      </c>
      <c r="F93" s="6" t="s">
        <v>380</v>
      </c>
      <c r="G93" s="6" t="s">
        <v>376</v>
      </c>
      <c r="H93" s="9">
        <v>0</v>
      </c>
      <c r="I93" s="8" t="s">
        <v>112</v>
      </c>
      <c r="J93" s="6" t="s">
        <v>377</v>
      </c>
    </row>
    <row r="94" spans="1:10" ht="60" customHeight="1" x14ac:dyDescent="0.3">
      <c r="A94" s="6" t="s">
        <v>351</v>
      </c>
      <c r="B94" s="6" t="s">
        <v>371</v>
      </c>
      <c r="C94" s="6" t="s">
        <v>372</v>
      </c>
      <c r="D94" s="6" t="s">
        <v>381</v>
      </c>
      <c r="E94" s="6" t="s">
        <v>382</v>
      </c>
      <c r="F94" s="6" t="s">
        <v>383</v>
      </c>
      <c r="G94" s="6" t="s">
        <v>376</v>
      </c>
      <c r="H94" s="9">
        <v>0</v>
      </c>
      <c r="I94" s="8" t="s">
        <v>112</v>
      </c>
      <c r="J94" s="6" t="s">
        <v>377</v>
      </c>
    </row>
    <row r="95" spans="1:10" ht="60" customHeight="1" x14ac:dyDescent="0.3">
      <c r="A95" s="6" t="s">
        <v>351</v>
      </c>
      <c r="B95" s="6" t="s">
        <v>371</v>
      </c>
      <c r="C95" s="6" t="s">
        <v>372</v>
      </c>
      <c r="D95" s="6" t="s">
        <v>384</v>
      </c>
      <c r="E95" s="6" t="s">
        <v>385</v>
      </c>
      <c r="F95" s="6" t="s">
        <v>386</v>
      </c>
      <c r="G95" s="6" t="s">
        <v>376</v>
      </c>
      <c r="H95" s="9">
        <v>0</v>
      </c>
      <c r="I95" s="8" t="s">
        <v>112</v>
      </c>
      <c r="J95" s="6" t="s">
        <v>377</v>
      </c>
    </row>
    <row r="96" spans="1:10" ht="60" customHeight="1" x14ac:dyDescent="0.3">
      <c r="A96" s="6" t="s">
        <v>351</v>
      </c>
      <c r="B96" s="6" t="s">
        <v>387</v>
      </c>
      <c r="C96" s="6" t="s">
        <v>388</v>
      </c>
      <c r="D96" s="6" t="s">
        <v>389</v>
      </c>
      <c r="E96" s="6" t="s">
        <v>390</v>
      </c>
      <c r="F96" s="6" t="s">
        <v>391</v>
      </c>
      <c r="G96" s="6" t="s">
        <v>392</v>
      </c>
      <c r="H96" s="7">
        <v>1</v>
      </c>
      <c r="I96" s="7" t="s">
        <v>33</v>
      </c>
      <c r="J96" s="6" t="s">
        <v>393</v>
      </c>
    </row>
    <row r="97" spans="1:10" ht="60" customHeight="1" x14ac:dyDescent="0.3">
      <c r="A97" s="6" t="s">
        <v>351</v>
      </c>
      <c r="B97" s="6" t="s">
        <v>387</v>
      </c>
      <c r="C97" s="6" t="s">
        <v>388</v>
      </c>
      <c r="D97" s="6" t="s">
        <v>394</v>
      </c>
      <c r="E97" s="6" t="s">
        <v>395</v>
      </c>
      <c r="F97" s="6" t="s">
        <v>396</v>
      </c>
      <c r="G97" s="6" t="s">
        <v>392</v>
      </c>
      <c r="H97" s="7">
        <v>1</v>
      </c>
      <c r="I97" s="7" t="s">
        <v>33</v>
      </c>
      <c r="J97" s="6" t="s">
        <v>393</v>
      </c>
    </row>
    <row r="98" spans="1:10" ht="60" customHeight="1" x14ac:dyDescent="0.3">
      <c r="A98" s="6" t="s">
        <v>351</v>
      </c>
      <c r="B98" s="6" t="s">
        <v>397</v>
      </c>
      <c r="C98" s="6" t="s">
        <v>398</v>
      </c>
      <c r="D98" s="6" t="s">
        <v>399</v>
      </c>
      <c r="E98" s="6" t="s">
        <v>400</v>
      </c>
      <c r="F98" s="6" t="s">
        <v>401</v>
      </c>
      <c r="G98" s="6" t="s">
        <v>402</v>
      </c>
      <c r="H98" s="7">
        <v>1</v>
      </c>
      <c r="I98" s="8" t="s">
        <v>112</v>
      </c>
      <c r="J98" s="6" t="s">
        <v>403</v>
      </c>
    </row>
    <row r="99" spans="1:10" ht="60" customHeight="1" x14ac:dyDescent="0.3">
      <c r="A99" s="6" t="s">
        <v>351</v>
      </c>
      <c r="B99" s="6" t="s">
        <v>397</v>
      </c>
      <c r="C99" s="6" t="s">
        <v>398</v>
      </c>
      <c r="D99" s="6" t="s">
        <v>404</v>
      </c>
      <c r="E99" s="6" t="s">
        <v>405</v>
      </c>
      <c r="F99" s="6" t="s">
        <v>406</v>
      </c>
      <c r="G99" s="6" t="s">
        <v>402</v>
      </c>
      <c r="H99" s="7">
        <v>1</v>
      </c>
      <c r="I99" s="8" t="s">
        <v>112</v>
      </c>
      <c r="J99" s="6" t="s">
        <v>403</v>
      </c>
    </row>
    <row r="100" spans="1:10" ht="60" customHeight="1" x14ac:dyDescent="0.3">
      <c r="A100" s="6" t="s">
        <v>407</v>
      </c>
      <c r="B100" s="6" t="s">
        <v>408</v>
      </c>
      <c r="C100" s="6" t="s">
        <v>409</v>
      </c>
      <c r="D100" s="6" t="s">
        <v>410</v>
      </c>
      <c r="E100" s="6" t="s">
        <v>411</v>
      </c>
      <c r="F100" s="6" t="s">
        <v>412</v>
      </c>
      <c r="G100" s="6" t="s">
        <v>413</v>
      </c>
      <c r="H100" s="7">
        <v>1</v>
      </c>
      <c r="I100" s="7" t="s">
        <v>33</v>
      </c>
      <c r="J100" s="6" t="s">
        <v>414</v>
      </c>
    </row>
    <row r="101" spans="1:10" ht="60" customHeight="1" x14ac:dyDescent="0.3">
      <c r="A101" s="6" t="s">
        <v>407</v>
      </c>
      <c r="B101" s="6" t="s">
        <v>408</v>
      </c>
      <c r="C101" s="6" t="s">
        <v>409</v>
      </c>
      <c r="D101" s="6" t="s">
        <v>415</v>
      </c>
      <c r="E101" s="6" t="s">
        <v>416</v>
      </c>
      <c r="F101" s="6" t="s">
        <v>417</v>
      </c>
      <c r="G101" s="6" t="s">
        <v>413</v>
      </c>
      <c r="H101" s="7">
        <v>1</v>
      </c>
      <c r="I101" s="7" t="s">
        <v>33</v>
      </c>
      <c r="J101" s="6" t="s">
        <v>414</v>
      </c>
    </row>
    <row r="102" spans="1:10" ht="60" customHeight="1" x14ac:dyDescent="0.3">
      <c r="A102" s="6" t="s">
        <v>407</v>
      </c>
      <c r="B102" s="6" t="s">
        <v>408</v>
      </c>
      <c r="C102" s="6" t="s">
        <v>409</v>
      </c>
      <c r="D102" s="6" t="s">
        <v>418</v>
      </c>
      <c r="E102" s="6" t="s">
        <v>419</v>
      </c>
      <c r="F102" s="6" t="s">
        <v>420</v>
      </c>
      <c r="G102" s="6" t="s">
        <v>413</v>
      </c>
      <c r="H102" s="7">
        <v>1</v>
      </c>
      <c r="I102" s="7" t="s">
        <v>33</v>
      </c>
      <c r="J102" s="6" t="s">
        <v>414</v>
      </c>
    </row>
    <row r="103" spans="1:10" ht="60" customHeight="1" x14ac:dyDescent="0.3">
      <c r="A103" s="6" t="s">
        <v>407</v>
      </c>
      <c r="B103" s="6" t="s">
        <v>408</v>
      </c>
      <c r="C103" s="6" t="s">
        <v>409</v>
      </c>
      <c r="D103" s="6" t="s">
        <v>421</v>
      </c>
      <c r="E103" s="6" t="s">
        <v>422</v>
      </c>
      <c r="F103" s="6" t="s">
        <v>423</v>
      </c>
      <c r="G103" s="6" t="s">
        <v>413</v>
      </c>
      <c r="H103" s="7">
        <v>1</v>
      </c>
      <c r="I103" s="7" t="s">
        <v>33</v>
      </c>
      <c r="J103" s="6" t="s">
        <v>414</v>
      </c>
    </row>
    <row r="104" spans="1:10" ht="60" customHeight="1" x14ac:dyDescent="0.3">
      <c r="A104" s="6" t="s">
        <v>407</v>
      </c>
      <c r="B104" s="6" t="s">
        <v>408</v>
      </c>
      <c r="C104" s="6" t="s">
        <v>409</v>
      </c>
      <c r="D104" s="6" t="s">
        <v>424</v>
      </c>
      <c r="E104" s="6" t="s">
        <v>425</v>
      </c>
      <c r="F104" s="6" t="s">
        <v>426</v>
      </c>
      <c r="G104" s="6" t="s">
        <v>413</v>
      </c>
      <c r="H104" s="7">
        <v>1</v>
      </c>
      <c r="I104" s="7" t="s">
        <v>33</v>
      </c>
      <c r="J104" s="6" t="s">
        <v>414</v>
      </c>
    </row>
    <row r="105" spans="1:10" ht="60" customHeight="1" x14ac:dyDescent="0.3">
      <c r="A105" s="6" t="s">
        <v>407</v>
      </c>
      <c r="B105" s="6" t="s">
        <v>408</v>
      </c>
      <c r="C105" s="6" t="s">
        <v>409</v>
      </c>
      <c r="D105" s="6" t="s">
        <v>427</v>
      </c>
      <c r="E105" s="6" t="s">
        <v>428</v>
      </c>
      <c r="F105" s="6" t="s">
        <v>429</v>
      </c>
      <c r="G105" s="6" t="s">
        <v>413</v>
      </c>
      <c r="H105" s="7">
        <v>1</v>
      </c>
      <c r="I105" s="7" t="s">
        <v>33</v>
      </c>
      <c r="J105" s="6" t="s">
        <v>414</v>
      </c>
    </row>
    <row r="106" spans="1:10" ht="60" customHeight="1" x14ac:dyDescent="0.3">
      <c r="A106" s="6" t="s">
        <v>407</v>
      </c>
      <c r="B106" s="6" t="s">
        <v>430</v>
      </c>
      <c r="C106" s="6" t="s">
        <v>431</v>
      </c>
      <c r="D106" s="6" t="s">
        <v>432</v>
      </c>
      <c r="E106" s="6" t="s">
        <v>433</v>
      </c>
      <c r="F106" s="6" t="s">
        <v>434</v>
      </c>
      <c r="G106" s="6" t="s">
        <v>435</v>
      </c>
      <c r="H106" s="7">
        <v>1</v>
      </c>
      <c r="I106" s="8" t="s">
        <v>112</v>
      </c>
      <c r="J106" s="6" t="s">
        <v>436</v>
      </c>
    </row>
    <row r="107" spans="1:10" ht="60" customHeight="1" x14ac:dyDescent="0.3">
      <c r="A107" s="6" t="s">
        <v>407</v>
      </c>
      <c r="B107" s="6" t="s">
        <v>430</v>
      </c>
      <c r="C107" s="6" t="s">
        <v>431</v>
      </c>
      <c r="D107" s="6" t="s">
        <v>437</v>
      </c>
      <c r="E107" s="6" t="s">
        <v>438</v>
      </c>
      <c r="F107" s="6" t="s">
        <v>439</v>
      </c>
      <c r="G107" s="6" t="s">
        <v>435</v>
      </c>
      <c r="H107" s="7">
        <v>1</v>
      </c>
      <c r="I107" s="8" t="s">
        <v>112</v>
      </c>
      <c r="J107" s="6" t="s">
        <v>436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zoomScaleNormal="100" workbookViewId="0">
      <selection activeCell="B4" sqref="B4"/>
    </sheetView>
  </sheetViews>
  <sheetFormatPr defaultColWidth="8.6640625" defaultRowHeight="14.4" x14ac:dyDescent="0.3"/>
  <cols>
    <col min="1" max="1" width="22" customWidth="1"/>
    <col min="2" max="3" width="20" customWidth="1"/>
    <col min="4" max="4" width="16" customWidth="1"/>
  </cols>
  <sheetData>
    <row r="1" spans="1:4" ht="17.399999999999999" x14ac:dyDescent="0.3">
      <c r="A1" s="1" t="s">
        <v>440</v>
      </c>
      <c r="B1" s="1"/>
      <c r="C1" s="1"/>
      <c r="D1" s="1"/>
    </row>
    <row r="3" spans="1:4" ht="30" customHeight="1" x14ac:dyDescent="0.3">
      <c r="A3" s="5" t="s">
        <v>16</v>
      </c>
      <c r="B3" s="5" t="s">
        <v>441</v>
      </c>
      <c r="C3" s="5" t="s">
        <v>442</v>
      </c>
      <c r="D3" s="5" t="s">
        <v>443</v>
      </c>
    </row>
    <row r="4" spans="1:4" x14ac:dyDescent="0.3">
      <c r="A4" s="11" t="s">
        <v>26</v>
      </c>
      <c r="B4" s="12">
        <f>ROUND(AVERAGEIF('Gap Assessment'!$A$2:$A$107,A4,'Gap Assessment'!$H$2:$H$107),2)</f>
        <v>0.9</v>
      </c>
      <c r="C4" s="12">
        <f>COUNTIFS('Gap Assessment'!$A$2:$A$107,A4,'Gap Assessment'!$I$2:$I$107,"High")</f>
        <v>24</v>
      </c>
      <c r="D4" s="12">
        <f>COUNTIF('Gap Assessment'!$A$2:$A$107,A4)</f>
        <v>31</v>
      </c>
    </row>
    <row r="5" spans="1:4" x14ac:dyDescent="0.3">
      <c r="A5" s="11" t="s">
        <v>146</v>
      </c>
      <c r="B5" s="12">
        <f>ROUND(AVERAGEIF('Gap Assessment'!$A$2:$A$107,A5,'Gap Assessment'!$H$2:$H$107),2)</f>
        <v>1.1399999999999999</v>
      </c>
      <c r="C5" s="12">
        <f>COUNTIFS('Gap Assessment'!$A$2:$A$107,A5,'Gap Assessment'!$I$2:$I$107,"High")</f>
        <v>10</v>
      </c>
      <c r="D5" s="12">
        <f>COUNTIF('Gap Assessment'!$A$2:$A$107,A5)</f>
        <v>21</v>
      </c>
    </row>
    <row r="6" spans="1:4" x14ac:dyDescent="0.3">
      <c r="A6" s="11" t="s">
        <v>222</v>
      </c>
      <c r="B6" s="12">
        <f>ROUND(AVERAGEIF('Gap Assessment'!$A$2:$A$107,A6,'Gap Assessment'!$H$2:$H$107),2)</f>
        <v>1.86</v>
      </c>
      <c r="C6" s="12">
        <f>COUNTIFS('Gap Assessment'!$A$2:$A$107,A6,'Gap Assessment'!$I$2:$I$107,"High")</f>
        <v>12</v>
      </c>
      <c r="D6" s="12">
        <f>COUNTIF('Gap Assessment'!$A$2:$A$107,A6)</f>
        <v>22</v>
      </c>
    </row>
    <row r="7" spans="1:4" x14ac:dyDescent="0.3">
      <c r="A7" s="11" t="s">
        <v>309</v>
      </c>
      <c r="B7" s="12">
        <f>ROUND(AVERAGEIF('Gap Assessment'!$A$2:$A$107,A7,'Gap Assessment'!$H$2:$H$107),2)</f>
        <v>0.45</v>
      </c>
      <c r="C7" s="12">
        <f>COUNTIFS('Gap Assessment'!$A$2:$A$107,A7,'Gap Assessment'!$I$2:$I$107,"High")</f>
        <v>11</v>
      </c>
      <c r="D7" s="12">
        <f>COUNTIF('Gap Assessment'!$A$2:$A$107,A7)</f>
        <v>11</v>
      </c>
    </row>
    <row r="8" spans="1:4" x14ac:dyDescent="0.3">
      <c r="A8" s="11" t="s">
        <v>351</v>
      </c>
      <c r="B8" s="12">
        <f>ROUND(AVERAGEIF('Gap Assessment'!$A$2:$A$107,A8,'Gap Assessment'!$H$2:$H$107),2)</f>
        <v>0.69</v>
      </c>
      <c r="C8" s="12">
        <f>COUNTIFS('Gap Assessment'!$A$2:$A$107,A8,'Gap Assessment'!$I$2:$I$107,"High")</f>
        <v>7</v>
      </c>
      <c r="D8" s="12">
        <f>COUNTIF('Gap Assessment'!$A$2:$A$107,A8)</f>
        <v>13</v>
      </c>
    </row>
    <row r="9" spans="1:4" x14ac:dyDescent="0.3">
      <c r="A9" s="11" t="s">
        <v>407</v>
      </c>
      <c r="B9" s="12">
        <f>ROUND(AVERAGEIF('Gap Assessment'!$A$2:$A$107,A9,'Gap Assessment'!$H$2:$H$107),2)</f>
        <v>1</v>
      </c>
      <c r="C9" s="12">
        <f>COUNTIFS('Gap Assessment'!$A$2:$A$107,A9,'Gap Assessment'!$I$2:$I$107,"High")</f>
        <v>6</v>
      </c>
      <c r="D9" s="12">
        <f>COUNTIF('Gap Assessment'!$A$2:$A$107,A9)</f>
        <v>8</v>
      </c>
    </row>
    <row r="11" spans="1:4" x14ac:dyDescent="0.3">
      <c r="A11" s="13" t="s">
        <v>444</v>
      </c>
      <c r="B11" s="13">
        <f>ROUND(AVERAGE('Gap Assessment'!$H$2:$H$107),2)</f>
        <v>1.08</v>
      </c>
      <c r="C11" s="13">
        <f>COUNTIF('Gap Assessment'!$I$2:$I$107,"High")</f>
        <v>70</v>
      </c>
      <c r="D11" s="13">
        <f>COUNTA('Gap Assessment'!$D$2:$D$107)</f>
        <v>106</v>
      </c>
    </row>
    <row r="14" spans="1:4" ht="17.399999999999999" x14ac:dyDescent="0.3">
      <c r="A14" s="1" t="s">
        <v>445</v>
      </c>
      <c r="B14" s="1"/>
      <c r="C14" s="1"/>
      <c r="D14" s="1"/>
    </row>
    <row r="15" spans="1:4" ht="47.4" customHeight="1" x14ac:dyDescent="0.3">
      <c r="A15" s="5" t="s">
        <v>17</v>
      </c>
      <c r="B15" s="5" t="s">
        <v>18</v>
      </c>
      <c r="C15" s="5" t="s">
        <v>16</v>
      </c>
      <c r="D15" s="5" t="s">
        <v>441</v>
      </c>
    </row>
    <row r="16" spans="1:4" x14ac:dyDescent="0.3">
      <c r="A16" s="14" t="s">
        <v>27</v>
      </c>
      <c r="B16" s="14" t="s">
        <v>28</v>
      </c>
      <c r="C16" s="14" t="s">
        <v>26</v>
      </c>
      <c r="D16" s="15">
        <f>ROUND(AVERAGEIF('Gap Assessment'!$B$2:$B$107,A16,'Gap Assessment'!$H$2:$H$107),2)</f>
        <v>1</v>
      </c>
    </row>
    <row r="17" spans="1:4" x14ac:dyDescent="0.3">
      <c r="A17" s="14" t="s">
        <v>47</v>
      </c>
      <c r="B17" s="14" t="s">
        <v>48</v>
      </c>
      <c r="C17" s="14" t="s">
        <v>26</v>
      </c>
      <c r="D17" s="15">
        <f>ROUND(AVERAGEIF('Gap Assessment'!$B$2:$B$107,A17,'Gap Assessment'!$H$2:$H$107),2)</f>
        <v>1</v>
      </c>
    </row>
    <row r="18" spans="1:4" x14ac:dyDescent="0.3">
      <c r="A18" s="14" t="s">
        <v>72</v>
      </c>
      <c r="B18" s="14" t="s">
        <v>73</v>
      </c>
      <c r="C18" s="14" t="s">
        <v>26</v>
      </c>
      <c r="D18" s="15">
        <f>ROUND(AVERAGEIF('Gap Assessment'!$B$2:$B$107,A18,'Gap Assessment'!$H$2:$H$107),2)</f>
        <v>1</v>
      </c>
    </row>
    <row r="19" spans="1:4" x14ac:dyDescent="0.3">
      <c r="A19" s="14" t="s">
        <v>106</v>
      </c>
      <c r="B19" s="14" t="s">
        <v>107</v>
      </c>
      <c r="C19" s="14" t="s">
        <v>26</v>
      </c>
      <c r="D19" s="15">
        <f>ROUND(AVERAGEIF('Gap Assessment'!$B$2:$B$107,A19,'Gap Assessment'!$H$2:$H$107),2)</f>
        <v>1</v>
      </c>
    </row>
    <row r="20" spans="1:4" x14ac:dyDescent="0.3">
      <c r="A20" s="14" t="s">
        <v>123</v>
      </c>
      <c r="B20" s="14" t="s">
        <v>124</v>
      </c>
      <c r="C20" s="14" t="s">
        <v>26</v>
      </c>
      <c r="D20" s="15">
        <f>ROUND(AVERAGEIF('Gap Assessment'!$B$2:$B$107,A20,'Gap Assessment'!$H$2:$H$107),2)</f>
        <v>1</v>
      </c>
    </row>
    <row r="21" spans="1:4" x14ac:dyDescent="0.3">
      <c r="A21" s="14" t="s">
        <v>133</v>
      </c>
      <c r="B21" s="14" t="s">
        <v>134</v>
      </c>
      <c r="C21" s="14" t="s">
        <v>26</v>
      </c>
      <c r="D21" s="15">
        <f>ROUND(AVERAGEIF('Gap Assessment'!$B$2:$B$107,A21,'Gap Assessment'!$H$2:$H$107),2)</f>
        <v>0</v>
      </c>
    </row>
    <row r="22" spans="1:4" x14ac:dyDescent="0.3">
      <c r="A22" s="14" t="s">
        <v>147</v>
      </c>
      <c r="B22" s="14" t="s">
        <v>148</v>
      </c>
      <c r="C22" s="14" t="s">
        <v>146</v>
      </c>
      <c r="D22" s="15">
        <f>ROUND(AVERAGEIF('Gap Assessment'!$B$2:$B$107,A22,'Gap Assessment'!$H$2:$H$107),2)</f>
        <v>2</v>
      </c>
    </row>
    <row r="23" spans="1:4" x14ac:dyDescent="0.3">
      <c r="A23" s="14" t="s">
        <v>172</v>
      </c>
      <c r="B23" s="14" t="s">
        <v>173</v>
      </c>
      <c r="C23" s="14" t="s">
        <v>146</v>
      </c>
      <c r="D23" s="15">
        <f>ROUND(AVERAGEIF('Gap Assessment'!$B$2:$B$107,A23,'Gap Assessment'!$H$2:$H$107),2)</f>
        <v>1</v>
      </c>
    </row>
    <row r="24" spans="1:4" x14ac:dyDescent="0.3">
      <c r="A24" s="14" t="s">
        <v>206</v>
      </c>
      <c r="B24" s="14" t="s">
        <v>207</v>
      </c>
      <c r="C24" s="14" t="s">
        <v>146</v>
      </c>
      <c r="D24" s="15">
        <f>ROUND(AVERAGEIF('Gap Assessment'!$B$2:$B$107,A24,'Gap Assessment'!$H$2:$H$107),2)</f>
        <v>0</v>
      </c>
    </row>
    <row r="25" spans="1:4" x14ac:dyDescent="0.3">
      <c r="A25" s="14" t="s">
        <v>223</v>
      </c>
      <c r="B25" s="14" t="s">
        <v>224</v>
      </c>
      <c r="C25" s="14" t="s">
        <v>222</v>
      </c>
      <c r="D25" s="15">
        <f>ROUND(AVERAGEIF('Gap Assessment'!$B$2:$B$107,A25,'Gap Assessment'!$H$2:$H$107),2)</f>
        <v>2.17</v>
      </c>
    </row>
    <row r="26" spans="1:4" x14ac:dyDescent="0.3">
      <c r="A26" s="14" t="s">
        <v>245</v>
      </c>
      <c r="B26" s="14" t="s">
        <v>246</v>
      </c>
      <c r="C26" s="14" t="s">
        <v>222</v>
      </c>
      <c r="D26" s="15">
        <f>ROUND(AVERAGEIF('Gap Assessment'!$B$2:$B$107,A26,'Gap Assessment'!$H$2:$H$107),2)</f>
        <v>0</v>
      </c>
    </row>
    <row r="27" spans="1:4" x14ac:dyDescent="0.3">
      <c r="A27" s="14" t="s">
        <v>255</v>
      </c>
      <c r="B27" s="14" t="s">
        <v>256</v>
      </c>
      <c r="C27" s="14" t="s">
        <v>222</v>
      </c>
      <c r="D27" s="15">
        <f>ROUND(AVERAGEIF('Gap Assessment'!$B$2:$B$107,A27,'Gap Assessment'!$H$2:$H$107),2)</f>
        <v>1.75</v>
      </c>
    </row>
    <row r="28" spans="1:4" x14ac:dyDescent="0.3">
      <c r="A28" s="14" t="s">
        <v>271</v>
      </c>
      <c r="B28" s="14" t="s">
        <v>272</v>
      </c>
      <c r="C28" s="14" t="s">
        <v>222</v>
      </c>
      <c r="D28" s="15">
        <f>ROUND(AVERAGEIF('Gap Assessment'!$B$2:$B$107,A28,'Gap Assessment'!$H$2:$H$107),2)</f>
        <v>2.17</v>
      </c>
    </row>
    <row r="29" spans="1:4" x14ac:dyDescent="0.3">
      <c r="A29" s="14" t="s">
        <v>293</v>
      </c>
      <c r="B29" s="14" t="s">
        <v>294</v>
      </c>
      <c r="C29" s="14" t="s">
        <v>222</v>
      </c>
      <c r="D29" s="15">
        <f>ROUND(AVERAGEIF('Gap Assessment'!$B$2:$B$107,A29,'Gap Assessment'!$H$2:$H$107),2)</f>
        <v>2</v>
      </c>
    </row>
    <row r="30" spans="1:4" x14ac:dyDescent="0.3">
      <c r="A30" s="14" t="s">
        <v>310</v>
      </c>
      <c r="B30" s="14" t="s">
        <v>311</v>
      </c>
      <c r="C30" s="14" t="s">
        <v>309</v>
      </c>
      <c r="D30" s="15">
        <f>ROUND(AVERAGEIF('Gap Assessment'!$B$2:$B$107,A30,'Gap Assessment'!$H$2:$H$107),2)</f>
        <v>1</v>
      </c>
    </row>
    <row r="31" spans="1:4" x14ac:dyDescent="0.3">
      <c r="A31" s="14" t="s">
        <v>329</v>
      </c>
      <c r="B31" s="14" t="s">
        <v>330</v>
      </c>
      <c r="C31" s="14" t="s">
        <v>309</v>
      </c>
      <c r="D31" s="15">
        <f>ROUND(AVERAGEIF('Gap Assessment'!$B$2:$B$107,A31,'Gap Assessment'!$H$2:$H$107),2)</f>
        <v>0</v>
      </c>
    </row>
    <row r="32" spans="1:4" x14ac:dyDescent="0.3">
      <c r="A32" s="14" t="s">
        <v>352</v>
      </c>
      <c r="B32" s="14" t="s">
        <v>353</v>
      </c>
      <c r="C32" s="14" t="s">
        <v>351</v>
      </c>
      <c r="D32" s="15">
        <f>ROUND(AVERAGEIF('Gap Assessment'!$B$2:$B$107,A32,'Gap Assessment'!$H$2:$H$107),2)</f>
        <v>1</v>
      </c>
    </row>
    <row r="33" spans="1:4" x14ac:dyDescent="0.3">
      <c r="A33" s="14" t="s">
        <v>371</v>
      </c>
      <c r="B33" s="14" t="s">
        <v>372</v>
      </c>
      <c r="C33" s="14" t="s">
        <v>351</v>
      </c>
      <c r="D33" s="15">
        <f>ROUND(AVERAGEIF('Gap Assessment'!$B$2:$B$107,A33,'Gap Assessment'!$H$2:$H$107),2)</f>
        <v>0</v>
      </c>
    </row>
    <row r="34" spans="1:4" x14ac:dyDescent="0.3">
      <c r="A34" s="14" t="s">
        <v>387</v>
      </c>
      <c r="B34" s="14" t="s">
        <v>388</v>
      </c>
      <c r="C34" s="14" t="s">
        <v>351</v>
      </c>
      <c r="D34" s="15">
        <f>ROUND(AVERAGEIF('Gap Assessment'!$B$2:$B$107,A34,'Gap Assessment'!$H$2:$H$107),2)</f>
        <v>1</v>
      </c>
    </row>
    <row r="35" spans="1:4" x14ac:dyDescent="0.3">
      <c r="A35" s="14" t="s">
        <v>397</v>
      </c>
      <c r="B35" s="14" t="s">
        <v>398</v>
      </c>
      <c r="C35" s="14" t="s">
        <v>351</v>
      </c>
      <c r="D35" s="15">
        <f>ROUND(AVERAGEIF('Gap Assessment'!$B$2:$B$107,A35,'Gap Assessment'!$H$2:$H$107),2)</f>
        <v>1</v>
      </c>
    </row>
    <row r="36" spans="1:4" x14ac:dyDescent="0.3">
      <c r="A36" s="14" t="s">
        <v>408</v>
      </c>
      <c r="B36" s="14" t="s">
        <v>409</v>
      </c>
      <c r="C36" s="14" t="s">
        <v>407</v>
      </c>
      <c r="D36" s="15">
        <f>ROUND(AVERAGEIF('Gap Assessment'!$B$2:$B$107,A36,'Gap Assessment'!$H$2:$H$107),2)</f>
        <v>1</v>
      </c>
    </row>
    <row r="37" spans="1:4" x14ac:dyDescent="0.3">
      <c r="A37" s="14" t="s">
        <v>430</v>
      </c>
      <c r="B37" s="14" t="s">
        <v>431</v>
      </c>
      <c r="C37" s="14" t="s">
        <v>407</v>
      </c>
      <c r="D37" s="15">
        <f>ROUND(AVERAGEIF('Gap Assessment'!$B$2:$B$107,A37,'Gap Assessment'!$H$2:$H$107),2)</f>
        <v>1</v>
      </c>
    </row>
  </sheetData>
  <mergeCells count="2">
    <mergeCell ref="A1:D1"/>
    <mergeCell ref="A14:D1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Gap Assessment</vt:lpstr>
      <vt:lpstr>Maturity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Mahamat Moussa</cp:lastModifiedBy>
  <cp:revision>1</cp:revision>
  <dcterms:created xsi:type="dcterms:W3CDTF">2026-09-27T18:12:30Z</dcterms:created>
  <dcterms:modified xsi:type="dcterms:W3CDTF">2026-10-03T14:44:22Z</dcterms:modified>
  <dc:language>en-US</dc:language>
</cp:coreProperties>
</file>